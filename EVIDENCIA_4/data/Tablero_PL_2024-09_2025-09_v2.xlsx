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isabelgarciamojica/Downloads/"/>
    </mc:Choice>
  </mc:AlternateContent>
  <xr:revisionPtr revIDLastSave="0" documentId="13_ncr:1_{61167773-321D-7748-A5F0-980B0E7CC72D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Long PL Meses" sheetId="1" r:id="rId1"/>
    <sheet name="Input Enero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2" l="1"/>
  <c r="M22" i="2"/>
  <c r="L22" i="2"/>
  <c r="P20" i="2"/>
  <c r="K20" i="2"/>
  <c r="M144" i="1"/>
  <c r="L3" i="2"/>
  <c r="K7" i="2"/>
  <c r="K11" i="2" s="1"/>
  <c r="K4" i="2"/>
  <c r="K5" i="2"/>
  <c r="K6" i="2"/>
  <c r="K3" i="2"/>
  <c r="K8" i="2"/>
  <c r="N20" i="2"/>
  <c r="M20" i="2"/>
  <c r="L20" i="2"/>
  <c r="K22" i="2" l="1"/>
</calcChain>
</file>

<file path=xl/sharedStrings.xml><?xml version="1.0" encoding="utf-8"?>
<sst xmlns="http://schemas.openxmlformats.org/spreadsheetml/2006/main" count="640" uniqueCount="55">
  <si>
    <t>Date</t>
  </si>
  <si>
    <t>Rubro</t>
  </si>
  <si>
    <t>Real</t>
  </si>
  <si>
    <t>Plan</t>
  </si>
  <si>
    <t>AA</t>
  </si>
  <si>
    <t>Var Plan</t>
  </si>
  <si>
    <t>Var AA</t>
  </si>
  <si>
    <t>% Var Plan</t>
  </si>
  <si>
    <t>% Var AA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</si>
  <si>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</si>
  <si>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</si>
  <si>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</si>
  <si>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</si>
  <si>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</si>
  <si>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</si>
  <si>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</si>
  <si>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</si>
  <si>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</si>
  <si>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</si>
  <si>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</si>
  <si>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</si>
  <si>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</si>
  <si>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1. Ingreso</t>
  </si>
  <si>
    <t>2. Costo</t>
  </si>
  <si>
    <t>Utilidad Bruta</t>
  </si>
  <si>
    <t>3. Gasto</t>
  </si>
  <si>
    <t>UAFIR</t>
  </si>
  <si>
    <t>Mantenimiento Automotriz</t>
  </si>
  <si>
    <t>Salarios</t>
  </si>
  <si>
    <t>Siniestros</t>
  </si>
  <si>
    <t>Depreciación</t>
  </si>
  <si>
    <t>Previsión Social</t>
  </si>
  <si>
    <t>Diversos</t>
  </si>
  <si>
    <t>Arrendamiento</t>
  </si>
  <si>
    <t>Peajes y Transbordos</t>
  </si>
  <si>
    <t>Combustible</t>
  </si>
  <si>
    <t>Servicios CSC</t>
  </si>
  <si>
    <t>Viáticos</t>
  </si>
  <si>
    <t>Publicidad</t>
  </si>
  <si>
    <t>TI</t>
  </si>
  <si>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</si>
  <si>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</si>
  <si>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</si>
  <si>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</si>
  <si>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</si>
  <si>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</si>
  <si>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</si>
  <si>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</si>
  <si>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Costo</t>
  </si>
  <si>
    <t>Gasto</t>
  </si>
  <si>
    <t>Infinity</t>
  </si>
  <si>
    <t>km recorridos en enero 2025</t>
  </si>
  <si>
    <t>CUANTO REPRESENTÓ DE ING WALMART EN SEP</t>
  </si>
  <si>
    <t xml:space="preserve">INGRESO SEPT </t>
  </si>
  <si>
    <t>costos xkm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</si>
</sst>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44" fontId="0" fillId="0" borderId="0" xfId="1" applyFont="1"/>
    <xf numFmtId="44" fontId="0" fillId="0" borderId="0" xfId="0" applyNumberFormat="1"/>
    <xf numFmtId="9" fontId="0" fillId="0" borderId="0" xfId="2" applyFont="1"/>
    <xf numFmtId="10" fontId="0" fillId="0" borderId="0" xfId="2" applyNumberFormat="1" applyFont="1"/>
    <xf numFmtId="0" fontId="1" fillId="0" borderId="2" xfId="0" applyFont="1" applyBorder="1" applyAlignment="1">
      <alignment horizontal="center" vertical="top"/>
    </xf>
    <xf numFmtId="0" fontId="0" fillId="0" borderId="0" xfId="0" applyFont="1"/>
    <xf numFmtId="44" fontId="3" fillId="0" borderId="0" xfId="1" applyFont="1"/>
    <xf numFmtId="44" fontId="0" fillId="2" borderId="0" xfId="1" applyFont="1" applyFill="1"/>
  </cellXfs>
  <cellStyles count="3">
    <cellStyle name="Currency" xfId="1" builtinId="4"/>
    <cellStyle name="Normal" xfId="0" builtinId="0"/>
    <cellStyle name="Percent" xfId="2" builtinId="5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855A91-9561-2D45-B465-74755F4D80D6}" name="Table1" displayName="Table1" ref="A1:I287" totalsRowShown="0" headerRowDxfId="0" headerRowBorderDxfId="1" tableBorderDxfId="2">
  <autoFilter ref="A1:I287" xr:uid="{3B855A91-9561-2D45-B465-74755F4D80D6}">
    <filterColumn colId="0">
      <filters>
        <filter val="2025-04"/>
      </filters>
    </filterColumn>
  </autoFilter>
  <tableColumns count="9">
    <tableColumn id="1" xr3:uid="{FF23D352-5299-764B-8F2E-072EDEC0EE16}" name="Date"/>
    <tableColumn id="2" xr3:uid="{E090EC2A-FDEC-E24D-B84E-2C595352D5CF}" name="Rubro"/>
    <tableColumn id="3" xr3:uid="{A9EDCB1A-9CB5-1240-A025-5C5E4A1C614C}" name="Real"/>
    <tableColumn id="4" xr3:uid="{CDE0FA54-DD51-814B-BFE3-ABC53235C7E5}" name="Plan"/>
    <tableColumn id="5" xr3:uid="{77EE3D77-301D-1C4D-B518-F37C6DBDC722}" name="AA"/>
    <tableColumn id="6" xr3:uid="{343D57A4-530F-954B-A235-574EDDCBD2C0}" name="Var Plan"/>
    <tableColumn id="7" xr3:uid="{92BCDCB9-E0C2-8A44-B4C5-30FDB0E88974}" name="Var AA"/>
    <tableColumn id="8" xr3:uid="{DA6A646F-E01D-FF44-AC7A-8E7BFF3A72A4}" name="% Var Plan"/>
    <tableColumn id="9" xr3:uid="{1F715694-6E92-B34A-8153-2E5C47C7DFCA}" name="% Var A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7"/>
  <sheetViews>
    <sheetView tabSelected="1" workbookViewId="0">
      <selection activeCell="C22" sqref="C22"/>
    </sheetView>
  </sheetViews>
  <sheetFormatPr baseColWidth="10" defaultColWidth="8.83203125" defaultRowHeight="15" x14ac:dyDescent="0.2"/>
  <cols>
    <col min="2" max="2" width="25.83203125" bestFit="1" customWidth="1"/>
    <col min="3" max="4" width="10" bestFit="1" customWidth="1"/>
    <col min="5" max="5" width="9" bestFit="1" customWidth="1"/>
    <col min="6" max="6" width="9.83203125" customWidth="1"/>
    <col min="7" max="7" width="9.6640625" bestFit="1" customWidth="1"/>
    <col min="8" max="9" width="12.6640625" bestFit="1" customWidth="1"/>
    <col min="13" max="13" width="15.6640625" bestFit="1" customWidth="1"/>
    <col min="15" max="15" width="15.83203125" bestFit="1" customWidth="1"/>
  </cols>
  <sheetData>
    <row r="1" spans="1:9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idden="1" x14ac:dyDescent="0.2">
      <c r="A2" t="s">
        <v>9</v>
      </c>
      <c r="B2" t="s">
        <v>22</v>
      </c>
      <c r="C2">
        <v>97690376</v>
      </c>
      <c r="D2">
        <v>103461362</v>
      </c>
      <c r="F2">
        <v>-5770986</v>
      </c>
      <c r="H2">
        <v>-5.5779141975726157E-2</v>
      </c>
    </row>
    <row r="3" spans="1:9" hidden="1" x14ac:dyDescent="0.2">
      <c r="A3" t="s">
        <v>10</v>
      </c>
      <c r="B3" t="s">
        <v>22</v>
      </c>
      <c r="C3">
        <v>112396297</v>
      </c>
      <c r="D3">
        <v>99976033</v>
      </c>
      <c r="F3">
        <v>12420264</v>
      </c>
      <c r="H3">
        <v>0.12423241478285101</v>
      </c>
    </row>
    <row r="4" spans="1:9" hidden="1" x14ac:dyDescent="0.2">
      <c r="A4" t="s">
        <v>11</v>
      </c>
      <c r="B4" t="s">
        <v>22</v>
      </c>
      <c r="C4">
        <v>88700238</v>
      </c>
      <c r="D4">
        <v>95593690</v>
      </c>
      <c r="F4">
        <v>-6893452</v>
      </c>
      <c r="H4">
        <v>-7.2111998187328052E-2</v>
      </c>
    </row>
    <row r="5" spans="1:9" hidden="1" x14ac:dyDescent="0.2">
      <c r="A5" t="s">
        <v>12</v>
      </c>
      <c r="B5" t="s">
        <v>22</v>
      </c>
      <c r="C5">
        <v>84671116</v>
      </c>
      <c r="D5">
        <v>102624440</v>
      </c>
      <c r="F5">
        <v>-17953324</v>
      </c>
      <c r="H5">
        <v>-0.1749419923753055</v>
      </c>
    </row>
    <row r="6" spans="1:9" hidden="1" x14ac:dyDescent="0.2">
      <c r="A6" t="s">
        <v>13</v>
      </c>
      <c r="B6" t="s">
        <v>22</v>
      </c>
      <c r="C6">
        <v>107011839</v>
      </c>
      <c r="D6">
        <v>126324032</v>
      </c>
      <c r="F6">
        <v>-19312193</v>
      </c>
      <c r="H6">
        <v>-0.15287821876996449</v>
      </c>
    </row>
    <row r="7" spans="1:9" hidden="1" x14ac:dyDescent="0.2">
      <c r="A7" t="s">
        <v>14</v>
      </c>
      <c r="B7" t="s">
        <v>22</v>
      </c>
      <c r="C7">
        <v>83128374</v>
      </c>
      <c r="D7">
        <v>129564246</v>
      </c>
      <c r="F7">
        <v>-46435872</v>
      </c>
      <c r="H7">
        <v>-0.35840035683918542</v>
      </c>
    </row>
    <row r="8" spans="1:9" hidden="1" x14ac:dyDescent="0.2">
      <c r="A8" t="s">
        <v>15</v>
      </c>
      <c r="B8" t="s">
        <v>22</v>
      </c>
      <c r="C8">
        <v>116528833</v>
      </c>
      <c r="D8">
        <v>120189372</v>
      </c>
      <c r="F8">
        <v>-3660539</v>
      </c>
      <c r="H8">
        <v>-3.0456428377044851E-2</v>
      </c>
    </row>
    <row r="9" spans="1:9" x14ac:dyDescent="0.2">
      <c r="A9" t="s">
        <v>16</v>
      </c>
      <c r="B9" t="s">
        <v>22</v>
      </c>
      <c r="C9">
        <v>89761929</v>
      </c>
      <c r="D9">
        <v>119831309</v>
      </c>
      <c r="F9">
        <v>-30069380</v>
      </c>
      <c r="H9">
        <v>-0.25093091489136621</v>
      </c>
    </row>
    <row r="10" spans="1:9" hidden="1" x14ac:dyDescent="0.2">
      <c r="A10" t="s">
        <v>17</v>
      </c>
      <c r="B10" t="s">
        <v>22</v>
      </c>
      <c r="C10">
        <v>94798269</v>
      </c>
      <c r="D10">
        <v>124055510</v>
      </c>
      <c r="F10">
        <v>-29257241</v>
      </c>
      <c r="H10">
        <v>-0.23583991553458611</v>
      </c>
    </row>
    <row r="11" spans="1:9" hidden="1" x14ac:dyDescent="0.2">
      <c r="A11" t="s">
        <v>18</v>
      </c>
      <c r="B11" t="s">
        <v>22</v>
      </c>
      <c r="C11">
        <v>100052057</v>
      </c>
      <c r="D11">
        <v>121165630</v>
      </c>
      <c r="F11">
        <v>-21113573</v>
      </c>
      <c r="H11">
        <v>-0.17425381273550919</v>
      </c>
    </row>
    <row r="12" spans="1:9" hidden="1" x14ac:dyDescent="0.2">
      <c r="A12" t="s">
        <v>19</v>
      </c>
      <c r="B12" t="s">
        <v>22</v>
      </c>
      <c r="C12">
        <v>107453604</v>
      </c>
      <c r="D12">
        <v>119287918</v>
      </c>
      <c r="F12">
        <v>-11834314</v>
      </c>
      <c r="H12">
        <v>-9.9207985170803301E-2</v>
      </c>
    </row>
    <row r="13" spans="1:9" hidden="1" x14ac:dyDescent="0.2">
      <c r="A13" t="s">
        <v>20</v>
      </c>
      <c r="B13" t="s">
        <v>22</v>
      </c>
      <c r="C13">
        <v>94300565</v>
      </c>
      <c r="D13">
        <v>122095390</v>
      </c>
      <c r="F13">
        <v>-27794825</v>
      </c>
      <c r="H13">
        <v>-0.22764843947015531</v>
      </c>
    </row>
    <row r="14" spans="1:9" hidden="1" x14ac:dyDescent="0.2">
      <c r="A14" t="s">
        <v>21</v>
      </c>
      <c r="B14" t="s">
        <v>22</v>
      </c>
      <c r="C14">
        <v>101044577</v>
      </c>
      <c r="D14">
        <v>127278180</v>
      </c>
      <c r="E14">
        <v>97690376</v>
      </c>
      <c r="F14">
        <v>-26233603</v>
      </c>
      <c r="G14">
        <v>3354201</v>
      </c>
      <c r="H14">
        <v>-0.20611233598720541</v>
      </c>
      <c r="I14">
        <v>3.4335019859069837E-2</v>
      </c>
    </row>
    <row r="15" spans="1:9" hidden="1" x14ac:dyDescent="0.2">
      <c r="A15" t="s">
        <v>9</v>
      </c>
      <c r="B15" t="s">
        <v>23</v>
      </c>
      <c r="C15">
        <v>75818078</v>
      </c>
      <c r="D15">
        <v>81425960</v>
      </c>
      <c r="F15">
        <v>-5607882</v>
      </c>
      <c r="H15">
        <v>-6.8870935018758142E-2</v>
      </c>
    </row>
    <row r="16" spans="1:9" hidden="1" x14ac:dyDescent="0.2">
      <c r="A16" t="s">
        <v>10</v>
      </c>
      <c r="B16" t="s">
        <v>23</v>
      </c>
      <c r="C16">
        <v>89355018</v>
      </c>
      <c r="D16">
        <v>77622397</v>
      </c>
      <c r="F16">
        <v>11732621</v>
      </c>
      <c r="H16">
        <v>0.15114994451923461</v>
      </c>
    </row>
    <row r="17" spans="1:9" hidden="1" x14ac:dyDescent="0.2">
      <c r="A17" t="s">
        <v>11</v>
      </c>
      <c r="B17" t="s">
        <v>23</v>
      </c>
      <c r="C17">
        <v>89876527</v>
      </c>
      <c r="D17">
        <v>78631243</v>
      </c>
      <c r="F17">
        <v>11245284</v>
      </c>
      <c r="H17">
        <v>0.14301292426472259</v>
      </c>
    </row>
    <row r="18" spans="1:9" hidden="1" x14ac:dyDescent="0.2">
      <c r="A18" t="s">
        <v>12</v>
      </c>
      <c r="B18" t="s">
        <v>23</v>
      </c>
      <c r="C18">
        <v>71177938</v>
      </c>
      <c r="D18">
        <v>84960117</v>
      </c>
      <c r="F18">
        <v>-13782179</v>
      </c>
      <c r="H18">
        <v>-0.16221939760275991</v>
      </c>
    </row>
    <row r="19" spans="1:9" hidden="1" x14ac:dyDescent="0.2">
      <c r="A19" t="s">
        <v>13</v>
      </c>
      <c r="B19" t="s">
        <v>23</v>
      </c>
      <c r="C19">
        <v>102219031</v>
      </c>
      <c r="D19">
        <v>104772256</v>
      </c>
      <c r="F19">
        <v>-2553225</v>
      </c>
      <c r="H19">
        <v>-2.4369285319197478E-2</v>
      </c>
    </row>
    <row r="20" spans="1:9" hidden="1" x14ac:dyDescent="0.2">
      <c r="A20" t="s">
        <v>14</v>
      </c>
      <c r="B20" t="s">
        <v>23</v>
      </c>
      <c r="C20">
        <v>79435136</v>
      </c>
      <c r="D20">
        <v>97548603</v>
      </c>
      <c r="F20">
        <v>-18113467</v>
      </c>
      <c r="H20">
        <v>-0.18568658538349339</v>
      </c>
    </row>
    <row r="21" spans="1:9" hidden="1" x14ac:dyDescent="0.2">
      <c r="A21" t="s">
        <v>15</v>
      </c>
      <c r="B21" t="s">
        <v>23</v>
      </c>
      <c r="C21">
        <v>92519805</v>
      </c>
      <c r="D21">
        <v>101029497</v>
      </c>
      <c r="F21">
        <v>-8509692</v>
      </c>
      <c r="H21">
        <v>-8.4229776972956721E-2</v>
      </c>
    </row>
    <row r="22" spans="1:9" x14ac:dyDescent="0.2">
      <c r="A22" t="s">
        <v>16</v>
      </c>
      <c r="B22" t="s">
        <v>23</v>
      </c>
      <c r="C22">
        <v>73142146</v>
      </c>
      <c r="D22">
        <v>101588753</v>
      </c>
      <c r="F22">
        <v>-28446607</v>
      </c>
      <c r="H22">
        <v>-0.28001728695301542</v>
      </c>
    </row>
    <row r="23" spans="1:9" hidden="1" x14ac:dyDescent="0.2">
      <c r="A23" t="s">
        <v>17</v>
      </c>
      <c r="B23" t="s">
        <v>23</v>
      </c>
      <c r="C23">
        <v>70121047</v>
      </c>
      <c r="D23">
        <v>105798015</v>
      </c>
      <c r="F23">
        <v>-35676968</v>
      </c>
      <c r="H23">
        <v>-0.33721774458622877</v>
      </c>
    </row>
    <row r="24" spans="1:9" hidden="1" x14ac:dyDescent="0.2">
      <c r="A24" t="s">
        <v>18</v>
      </c>
      <c r="B24" t="s">
        <v>23</v>
      </c>
      <c r="C24">
        <v>77855343</v>
      </c>
      <c r="D24">
        <v>103289614</v>
      </c>
      <c r="F24">
        <v>-25434271</v>
      </c>
      <c r="H24">
        <v>-0.24624228918117549</v>
      </c>
    </row>
    <row r="25" spans="1:9" hidden="1" x14ac:dyDescent="0.2">
      <c r="A25" t="s">
        <v>19</v>
      </c>
      <c r="B25" t="s">
        <v>23</v>
      </c>
      <c r="C25">
        <v>79679766</v>
      </c>
      <c r="D25">
        <v>101841741</v>
      </c>
      <c r="F25">
        <v>-22161975</v>
      </c>
      <c r="H25">
        <v>-0.2176119023731144</v>
      </c>
    </row>
    <row r="26" spans="1:9" hidden="1" x14ac:dyDescent="0.2">
      <c r="A26" t="s">
        <v>20</v>
      </c>
      <c r="B26" t="s">
        <v>23</v>
      </c>
      <c r="C26">
        <v>87779688</v>
      </c>
      <c r="D26">
        <v>98434705</v>
      </c>
      <c r="F26">
        <v>-10655017</v>
      </c>
      <c r="H26">
        <v>-0.10824451599667009</v>
      </c>
    </row>
    <row r="27" spans="1:9" hidden="1" x14ac:dyDescent="0.2">
      <c r="A27" t="s">
        <v>21</v>
      </c>
      <c r="B27" t="s">
        <v>23</v>
      </c>
      <c r="C27">
        <v>102355268</v>
      </c>
      <c r="D27">
        <v>104434163</v>
      </c>
      <c r="E27">
        <v>75818078</v>
      </c>
      <c r="F27">
        <v>-2078895</v>
      </c>
      <c r="G27">
        <v>26537190</v>
      </c>
      <c r="H27">
        <v>-1.990627339063368E-2</v>
      </c>
      <c r="I27">
        <v>0.35001137855275088</v>
      </c>
    </row>
    <row r="28" spans="1:9" hidden="1" x14ac:dyDescent="0.2">
      <c r="A28" t="s">
        <v>9</v>
      </c>
      <c r="B28" t="s">
        <v>24</v>
      </c>
      <c r="C28">
        <v>19614931</v>
      </c>
      <c r="D28">
        <v>18387516</v>
      </c>
      <c r="F28">
        <v>1227415</v>
      </c>
      <c r="H28">
        <v>6.675262716290771E-2</v>
      </c>
    </row>
    <row r="29" spans="1:9" hidden="1" x14ac:dyDescent="0.2">
      <c r="A29" t="s">
        <v>10</v>
      </c>
      <c r="B29" t="s">
        <v>24</v>
      </c>
      <c r="C29">
        <v>17335482</v>
      </c>
      <c r="D29">
        <v>18435360</v>
      </c>
      <c r="F29">
        <v>-1099878</v>
      </c>
      <c r="H29">
        <v>-5.9661324758507557E-2</v>
      </c>
    </row>
    <row r="30" spans="1:9" hidden="1" x14ac:dyDescent="0.2">
      <c r="A30" t="s">
        <v>11</v>
      </c>
      <c r="B30" t="s">
        <v>24</v>
      </c>
      <c r="C30">
        <v>13936265</v>
      </c>
      <c r="D30">
        <v>17151323</v>
      </c>
      <c r="F30">
        <v>-3215058</v>
      </c>
      <c r="H30">
        <v>-0.18745247815576679</v>
      </c>
    </row>
    <row r="31" spans="1:9" hidden="1" x14ac:dyDescent="0.2">
      <c r="A31" t="s">
        <v>12</v>
      </c>
      <c r="B31" t="s">
        <v>24</v>
      </c>
      <c r="C31">
        <v>13647562</v>
      </c>
      <c r="D31">
        <v>17380127</v>
      </c>
      <c r="F31">
        <v>-3732565</v>
      </c>
      <c r="H31">
        <v>-0.21476051354515421</v>
      </c>
    </row>
    <row r="32" spans="1:9" hidden="1" x14ac:dyDescent="0.2">
      <c r="A32" t="s">
        <v>13</v>
      </c>
      <c r="B32" t="s">
        <v>24</v>
      </c>
      <c r="C32">
        <v>15939363</v>
      </c>
      <c r="D32">
        <v>21605799</v>
      </c>
      <c r="F32">
        <v>-5666436</v>
      </c>
      <c r="H32">
        <v>-0.26226458924291568</v>
      </c>
    </row>
    <row r="33" spans="1:9" hidden="1" x14ac:dyDescent="0.2">
      <c r="A33" t="s">
        <v>14</v>
      </c>
      <c r="B33" t="s">
        <v>24</v>
      </c>
      <c r="C33">
        <v>18875833</v>
      </c>
      <c r="D33">
        <v>21794639</v>
      </c>
      <c r="F33">
        <v>-2918806</v>
      </c>
      <c r="H33">
        <v>-0.13392311751527519</v>
      </c>
    </row>
    <row r="34" spans="1:9" hidden="1" x14ac:dyDescent="0.2">
      <c r="A34" t="s">
        <v>15</v>
      </c>
      <c r="B34" t="s">
        <v>24</v>
      </c>
      <c r="C34">
        <v>15220408</v>
      </c>
      <c r="D34">
        <v>22205784</v>
      </c>
      <c r="F34">
        <v>-6985376</v>
      </c>
      <c r="H34">
        <v>-0.31457461713578772</v>
      </c>
    </row>
    <row r="35" spans="1:9" x14ac:dyDescent="0.2">
      <c r="A35" t="s">
        <v>16</v>
      </c>
      <c r="B35" t="s">
        <v>24</v>
      </c>
      <c r="C35">
        <v>14286136</v>
      </c>
      <c r="D35">
        <v>22779577</v>
      </c>
      <c r="F35">
        <v>-8493441</v>
      </c>
      <c r="H35">
        <v>-0.37285332383476649</v>
      </c>
    </row>
    <row r="36" spans="1:9" hidden="1" x14ac:dyDescent="0.2">
      <c r="A36" t="s">
        <v>17</v>
      </c>
      <c r="B36" t="s">
        <v>24</v>
      </c>
      <c r="C36">
        <v>13843233</v>
      </c>
      <c r="D36">
        <v>23187952</v>
      </c>
      <c r="F36">
        <v>-9344719</v>
      </c>
      <c r="H36">
        <v>-0.40299889356334712</v>
      </c>
    </row>
    <row r="37" spans="1:9" hidden="1" x14ac:dyDescent="0.2">
      <c r="A37" t="s">
        <v>18</v>
      </c>
      <c r="B37" t="s">
        <v>24</v>
      </c>
      <c r="C37">
        <v>18498864</v>
      </c>
      <c r="D37">
        <v>21445196</v>
      </c>
      <c r="F37">
        <v>-2946332</v>
      </c>
      <c r="H37">
        <v>-0.13738890518883581</v>
      </c>
    </row>
    <row r="38" spans="1:9" hidden="1" x14ac:dyDescent="0.2">
      <c r="A38" t="s">
        <v>19</v>
      </c>
      <c r="B38" t="s">
        <v>24</v>
      </c>
      <c r="C38">
        <v>13382614</v>
      </c>
      <c r="D38">
        <v>22808906</v>
      </c>
      <c r="F38">
        <v>-9426292</v>
      </c>
      <c r="H38">
        <v>-0.41327242963779148</v>
      </c>
    </row>
    <row r="39" spans="1:9" hidden="1" x14ac:dyDescent="0.2">
      <c r="A39" t="s">
        <v>20</v>
      </c>
      <c r="B39" t="s">
        <v>24</v>
      </c>
      <c r="C39">
        <v>18062541</v>
      </c>
      <c r="D39">
        <v>22617744</v>
      </c>
      <c r="F39">
        <v>-4555203</v>
      </c>
      <c r="H39">
        <v>-0.2013995295021466</v>
      </c>
    </row>
    <row r="40" spans="1:9" hidden="1" x14ac:dyDescent="0.2">
      <c r="A40" t="s">
        <v>21</v>
      </c>
      <c r="B40" t="s">
        <v>24</v>
      </c>
      <c r="C40">
        <v>18492362</v>
      </c>
      <c r="D40">
        <v>21169532</v>
      </c>
      <c r="E40">
        <v>19614931</v>
      </c>
      <c r="F40">
        <v>-2677170</v>
      </c>
      <c r="G40">
        <v>-1122569</v>
      </c>
      <c r="H40">
        <v>-0.12646335308687981</v>
      </c>
      <c r="I40">
        <v>-5.7230331322603183E-2</v>
      </c>
    </row>
    <row r="41" spans="1:9" hidden="1" x14ac:dyDescent="0.2">
      <c r="A41" t="s">
        <v>9</v>
      </c>
      <c r="B41" t="s">
        <v>25</v>
      </c>
      <c r="C41">
        <v>6967964</v>
      </c>
      <c r="D41">
        <v>7306915</v>
      </c>
      <c r="F41">
        <v>-338951</v>
      </c>
      <c r="H41">
        <v>-4.6387702607735268E-2</v>
      </c>
    </row>
    <row r="42" spans="1:9" hidden="1" x14ac:dyDescent="0.2">
      <c r="A42" t="s">
        <v>10</v>
      </c>
      <c r="B42" t="s">
        <v>25</v>
      </c>
      <c r="C42">
        <v>8458890</v>
      </c>
      <c r="D42">
        <v>7692501</v>
      </c>
      <c r="F42">
        <v>766389</v>
      </c>
      <c r="H42">
        <v>9.9628066346692704E-2</v>
      </c>
    </row>
    <row r="43" spans="1:9" hidden="1" x14ac:dyDescent="0.2">
      <c r="A43" t="s">
        <v>11</v>
      </c>
      <c r="B43" t="s">
        <v>25</v>
      </c>
      <c r="C43">
        <v>6886517</v>
      </c>
      <c r="D43">
        <v>7267165</v>
      </c>
      <c r="F43">
        <v>-380648</v>
      </c>
      <c r="H43">
        <v>-5.2379160236488372E-2</v>
      </c>
    </row>
    <row r="44" spans="1:9" hidden="1" x14ac:dyDescent="0.2">
      <c r="A44" t="s">
        <v>12</v>
      </c>
      <c r="B44" t="s">
        <v>25</v>
      </c>
      <c r="C44">
        <v>6827677</v>
      </c>
      <c r="D44">
        <v>7465969</v>
      </c>
      <c r="F44">
        <v>-638292</v>
      </c>
      <c r="H44">
        <v>-8.5493524015435904E-2</v>
      </c>
    </row>
    <row r="45" spans="1:9" hidden="1" x14ac:dyDescent="0.2">
      <c r="A45" t="s">
        <v>13</v>
      </c>
      <c r="B45" t="s">
        <v>25</v>
      </c>
      <c r="C45">
        <v>8064480</v>
      </c>
      <c r="D45">
        <v>9629170</v>
      </c>
      <c r="F45">
        <v>-1564690</v>
      </c>
      <c r="H45">
        <v>-0.16249479446307419</v>
      </c>
    </row>
    <row r="46" spans="1:9" hidden="1" x14ac:dyDescent="0.2">
      <c r="A46" t="s">
        <v>14</v>
      </c>
      <c r="B46" t="s">
        <v>25</v>
      </c>
      <c r="C46">
        <v>8530120</v>
      </c>
      <c r="D46">
        <v>9472120</v>
      </c>
      <c r="F46">
        <v>-942000</v>
      </c>
      <c r="H46">
        <v>-9.9449753592648737E-2</v>
      </c>
    </row>
    <row r="47" spans="1:9" hidden="1" x14ac:dyDescent="0.2">
      <c r="A47" t="s">
        <v>15</v>
      </c>
      <c r="B47" t="s">
        <v>25</v>
      </c>
      <c r="C47">
        <v>6262231</v>
      </c>
      <c r="D47">
        <v>9701062</v>
      </c>
      <c r="F47">
        <v>-3438831</v>
      </c>
      <c r="H47">
        <v>-0.35447984973191587</v>
      </c>
    </row>
    <row r="48" spans="1:9" x14ac:dyDescent="0.2">
      <c r="A48" t="s">
        <v>16</v>
      </c>
      <c r="B48" t="s">
        <v>25</v>
      </c>
      <c r="C48">
        <v>8156596</v>
      </c>
      <c r="D48">
        <v>9556715</v>
      </c>
      <c r="F48">
        <v>-1400119</v>
      </c>
      <c r="H48">
        <v>-0.1465063047291878</v>
      </c>
    </row>
    <row r="49" spans="1:9" hidden="1" x14ac:dyDescent="0.2">
      <c r="A49" t="s">
        <v>17</v>
      </c>
      <c r="B49" t="s">
        <v>25</v>
      </c>
      <c r="C49">
        <v>8186678</v>
      </c>
      <c r="D49">
        <v>9492618</v>
      </c>
      <c r="F49">
        <v>-1305940</v>
      </c>
      <c r="H49">
        <v>-0.13757427087026991</v>
      </c>
    </row>
    <row r="50" spans="1:9" hidden="1" x14ac:dyDescent="0.2">
      <c r="A50" t="s">
        <v>18</v>
      </c>
      <c r="B50" t="s">
        <v>25</v>
      </c>
      <c r="C50">
        <v>7453283</v>
      </c>
      <c r="D50">
        <v>9429686</v>
      </c>
      <c r="F50">
        <v>-1976403</v>
      </c>
      <c r="H50">
        <v>-0.20959372348135449</v>
      </c>
    </row>
    <row r="51" spans="1:9" hidden="1" x14ac:dyDescent="0.2">
      <c r="A51" t="s">
        <v>19</v>
      </c>
      <c r="B51" t="s">
        <v>25</v>
      </c>
      <c r="C51">
        <v>5983995</v>
      </c>
      <c r="D51">
        <v>9126066</v>
      </c>
      <c r="F51">
        <v>-3142071</v>
      </c>
      <c r="H51">
        <v>-0.34429632658803921</v>
      </c>
    </row>
    <row r="52" spans="1:9" hidden="1" x14ac:dyDescent="0.2">
      <c r="A52" t="s">
        <v>20</v>
      </c>
      <c r="B52" t="s">
        <v>25</v>
      </c>
      <c r="C52">
        <v>6001752</v>
      </c>
      <c r="D52">
        <v>9628081</v>
      </c>
      <c r="F52">
        <v>-3626329</v>
      </c>
      <c r="H52">
        <v>-0.3766408903290282</v>
      </c>
    </row>
    <row r="53" spans="1:9" hidden="1" x14ac:dyDescent="0.2">
      <c r="A53" t="s">
        <v>21</v>
      </c>
      <c r="B53" t="s">
        <v>25</v>
      </c>
      <c r="C53">
        <v>6837644</v>
      </c>
      <c r="D53">
        <v>9506652</v>
      </c>
      <c r="E53">
        <v>6967964</v>
      </c>
      <c r="F53">
        <v>-2669008</v>
      </c>
      <c r="G53">
        <v>-130320</v>
      </c>
      <c r="H53">
        <v>-0.28075162528301228</v>
      </c>
      <c r="I53">
        <v>-1.8702737270169589E-2</v>
      </c>
    </row>
    <row r="54" spans="1:9" hidden="1" x14ac:dyDescent="0.2">
      <c r="A54" t="s">
        <v>9</v>
      </c>
      <c r="B54" t="s">
        <v>26</v>
      </c>
      <c r="C54">
        <v>10811596</v>
      </c>
      <c r="D54">
        <v>9837322</v>
      </c>
      <c r="F54">
        <v>974274</v>
      </c>
      <c r="H54">
        <v>9.9038539147137811E-2</v>
      </c>
    </row>
    <row r="55" spans="1:9" hidden="1" x14ac:dyDescent="0.2">
      <c r="A55" t="s">
        <v>10</v>
      </c>
      <c r="B55" t="s">
        <v>26</v>
      </c>
      <c r="C55">
        <v>8962851</v>
      </c>
      <c r="D55">
        <v>10348152</v>
      </c>
      <c r="F55">
        <v>-1385301</v>
      </c>
      <c r="H55">
        <v>-0.13386940972649031</v>
      </c>
    </row>
    <row r="56" spans="1:9" hidden="1" x14ac:dyDescent="0.2">
      <c r="A56" t="s">
        <v>11</v>
      </c>
      <c r="B56" t="s">
        <v>26</v>
      </c>
      <c r="C56">
        <v>8287640</v>
      </c>
      <c r="D56">
        <v>9663453</v>
      </c>
      <c r="F56">
        <v>-1375813</v>
      </c>
      <c r="H56">
        <v>-0.14237281435528271</v>
      </c>
    </row>
    <row r="57" spans="1:9" hidden="1" x14ac:dyDescent="0.2">
      <c r="A57" t="s">
        <v>12</v>
      </c>
      <c r="B57" t="s">
        <v>26</v>
      </c>
      <c r="C57">
        <v>8514291</v>
      </c>
      <c r="D57">
        <v>9748455</v>
      </c>
      <c r="F57">
        <v>-1234164</v>
      </c>
      <c r="H57">
        <v>-0.12660098446369189</v>
      </c>
    </row>
    <row r="58" spans="1:9" hidden="1" x14ac:dyDescent="0.2">
      <c r="A58" t="s">
        <v>13</v>
      </c>
      <c r="B58" t="s">
        <v>26</v>
      </c>
      <c r="C58">
        <v>10893889</v>
      </c>
      <c r="D58">
        <v>13001494</v>
      </c>
      <c r="F58">
        <v>-2107605</v>
      </c>
      <c r="H58">
        <v>-0.16210483195238951</v>
      </c>
    </row>
    <row r="59" spans="1:9" hidden="1" x14ac:dyDescent="0.2">
      <c r="A59" t="s">
        <v>14</v>
      </c>
      <c r="B59" t="s">
        <v>26</v>
      </c>
      <c r="C59">
        <v>9792140</v>
      </c>
      <c r="D59">
        <v>13081385</v>
      </c>
      <c r="F59">
        <v>-3289245</v>
      </c>
      <c r="H59">
        <v>-0.25144470558736709</v>
      </c>
    </row>
    <row r="60" spans="1:9" hidden="1" x14ac:dyDescent="0.2">
      <c r="A60" t="s">
        <v>15</v>
      </c>
      <c r="B60" t="s">
        <v>26</v>
      </c>
      <c r="C60">
        <v>10425271</v>
      </c>
      <c r="D60">
        <v>12217541</v>
      </c>
      <c r="F60">
        <v>-1792270</v>
      </c>
      <c r="H60">
        <v>-0.14669645880459911</v>
      </c>
    </row>
    <row r="61" spans="1:9" x14ac:dyDescent="0.2">
      <c r="A61" t="s">
        <v>16</v>
      </c>
      <c r="B61" t="s">
        <v>26</v>
      </c>
      <c r="C61">
        <v>10755791</v>
      </c>
      <c r="D61">
        <v>12662488</v>
      </c>
      <c r="F61">
        <v>-1906697</v>
      </c>
      <c r="H61">
        <v>-0.1505783855431887</v>
      </c>
    </row>
    <row r="62" spans="1:9" hidden="1" x14ac:dyDescent="0.2">
      <c r="A62" t="s">
        <v>17</v>
      </c>
      <c r="B62" t="s">
        <v>26</v>
      </c>
      <c r="C62">
        <v>10439283</v>
      </c>
      <c r="D62">
        <v>13112451</v>
      </c>
      <c r="F62">
        <v>-2673168</v>
      </c>
      <c r="H62">
        <v>-0.2038648609630648</v>
      </c>
    </row>
    <row r="63" spans="1:9" hidden="1" x14ac:dyDescent="0.2">
      <c r="A63" t="s">
        <v>18</v>
      </c>
      <c r="B63" t="s">
        <v>26</v>
      </c>
      <c r="C63">
        <v>8619344</v>
      </c>
      <c r="D63">
        <v>12121030</v>
      </c>
      <c r="F63">
        <v>-3501686</v>
      </c>
      <c r="H63">
        <v>-0.28889343562387032</v>
      </c>
    </row>
    <row r="64" spans="1:9" hidden="1" x14ac:dyDescent="0.2">
      <c r="A64" t="s">
        <v>19</v>
      </c>
      <c r="B64" t="s">
        <v>26</v>
      </c>
      <c r="C64">
        <v>8284431</v>
      </c>
      <c r="D64">
        <v>12520928</v>
      </c>
      <c r="F64">
        <v>-4236497</v>
      </c>
      <c r="H64">
        <v>-0.33835327541217392</v>
      </c>
    </row>
    <row r="65" spans="1:15" hidden="1" x14ac:dyDescent="0.2">
      <c r="A65" t="s">
        <v>20</v>
      </c>
      <c r="B65" t="s">
        <v>26</v>
      </c>
      <c r="C65">
        <v>10478604</v>
      </c>
      <c r="D65">
        <v>13067851</v>
      </c>
      <c r="F65">
        <v>-2589247</v>
      </c>
      <c r="H65">
        <v>-0.19813869931636041</v>
      </c>
    </row>
    <row r="66" spans="1:15" hidden="1" x14ac:dyDescent="0.2">
      <c r="A66" t="s">
        <v>21</v>
      </c>
      <c r="B66" t="s">
        <v>26</v>
      </c>
      <c r="C66">
        <v>7462720</v>
      </c>
      <c r="D66">
        <v>12626422</v>
      </c>
      <c r="E66">
        <v>10811596</v>
      </c>
      <c r="F66">
        <v>-5163702</v>
      </c>
      <c r="G66">
        <v>-3348876</v>
      </c>
      <c r="H66">
        <v>-0.40896003634283729</v>
      </c>
      <c r="I66">
        <v>-0.3097485329640508</v>
      </c>
      <c r="M66" t="s">
        <v>53</v>
      </c>
      <c r="O66" t="s">
        <v>52</v>
      </c>
    </row>
    <row r="67" spans="1:15" hidden="1" x14ac:dyDescent="0.2">
      <c r="A67" t="s">
        <v>9</v>
      </c>
      <c r="B67" t="s">
        <v>27</v>
      </c>
      <c r="C67">
        <v>9062966</v>
      </c>
      <c r="D67">
        <v>6473511</v>
      </c>
      <c r="F67">
        <v>2589455</v>
      </c>
      <c r="H67">
        <v>0.40000781646930078</v>
      </c>
    </row>
    <row r="68" spans="1:15" hidden="1" x14ac:dyDescent="0.2">
      <c r="A68" t="s">
        <v>10</v>
      </c>
      <c r="B68" t="s">
        <v>27</v>
      </c>
      <c r="C68">
        <v>7947456</v>
      </c>
      <c r="D68">
        <v>6550422</v>
      </c>
      <c r="F68">
        <v>1397034</v>
      </c>
      <c r="H68">
        <v>0.21327389288812229</v>
      </c>
    </row>
    <row r="69" spans="1:15" hidden="1" x14ac:dyDescent="0.2">
      <c r="A69" t="s">
        <v>11</v>
      </c>
      <c r="B69" t="s">
        <v>27</v>
      </c>
      <c r="C69">
        <v>11033081</v>
      </c>
      <c r="D69">
        <v>6540826</v>
      </c>
      <c r="F69">
        <v>4492255</v>
      </c>
      <c r="H69">
        <v>0.68680240079769739</v>
      </c>
    </row>
    <row r="70" spans="1:15" hidden="1" x14ac:dyDescent="0.2">
      <c r="A70" t="s">
        <v>12</v>
      </c>
      <c r="B70" t="s">
        <v>27</v>
      </c>
      <c r="C70">
        <v>9443042</v>
      </c>
      <c r="D70">
        <v>6793728</v>
      </c>
      <c r="F70">
        <v>2649314</v>
      </c>
      <c r="H70">
        <v>0.38996468507423321</v>
      </c>
    </row>
    <row r="71" spans="1:15" hidden="1" x14ac:dyDescent="0.2">
      <c r="A71" t="s">
        <v>13</v>
      </c>
      <c r="B71" t="s">
        <v>27</v>
      </c>
      <c r="C71">
        <v>8861338</v>
      </c>
      <c r="D71">
        <v>8715857</v>
      </c>
      <c r="F71">
        <v>145481</v>
      </c>
      <c r="H71">
        <v>1.6691531308969391E-2</v>
      </c>
    </row>
    <row r="72" spans="1:15" hidden="1" x14ac:dyDescent="0.2">
      <c r="A72" t="s">
        <v>14</v>
      </c>
      <c r="B72" t="s">
        <v>27</v>
      </c>
      <c r="C72">
        <v>11106328</v>
      </c>
      <c r="D72">
        <v>8116588</v>
      </c>
      <c r="F72">
        <v>2989740</v>
      </c>
      <c r="H72">
        <v>0.36834936059339218</v>
      </c>
    </row>
    <row r="73" spans="1:15" hidden="1" x14ac:dyDescent="0.2">
      <c r="A73" t="s">
        <v>15</v>
      </c>
      <c r="B73" t="s">
        <v>27</v>
      </c>
      <c r="C73">
        <v>9362280</v>
      </c>
      <c r="D73">
        <v>8157451</v>
      </c>
      <c r="F73">
        <v>1204829</v>
      </c>
      <c r="H73">
        <v>0.14769674987934339</v>
      </c>
    </row>
    <row r="74" spans="1:15" x14ac:dyDescent="0.2">
      <c r="A74" t="s">
        <v>16</v>
      </c>
      <c r="B74" t="s">
        <v>27</v>
      </c>
      <c r="C74">
        <v>8565954</v>
      </c>
      <c r="D74">
        <v>7937726</v>
      </c>
      <c r="F74">
        <v>628228</v>
      </c>
      <c r="H74">
        <v>7.9144581206254783E-2</v>
      </c>
    </row>
    <row r="75" spans="1:15" hidden="1" x14ac:dyDescent="0.2">
      <c r="A75" t="s">
        <v>17</v>
      </c>
      <c r="B75" t="s">
        <v>27</v>
      </c>
      <c r="C75">
        <v>9783356</v>
      </c>
      <c r="D75">
        <v>8325414</v>
      </c>
      <c r="F75">
        <v>1457942</v>
      </c>
      <c r="H75">
        <v>0.17511945952477559</v>
      </c>
    </row>
    <row r="76" spans="1:15" hidden="1" x14ac:dyDescent="0.2">
      <c r="A76" t="s">
        <v>18</v>
      </c>
      <c r="B76" t="s">
        <v>27</v>
      </c>
      <c r="C76">
        <v>7691072</v>
      </c>
      <c r="D76">
        <v>8138947</v>
      </c>
      <c r="F76">
        <v>-447875</v>
      </c>
      <c r="H76">
        <v>-5.5028617338336271E-2</v>
      </c>
    </row>
    <row r="77" spans="1:15" hidden="1" x14ac:dyDescent="0.2">
      <c r="A77" t="s">
        <v>19</v>
      </c>
      <c r="B77" t="s">
        <v>27</v>
      </c>
      <c r="C77">
        <v>10903200</v>
      </c>
      <c r="D77">
        <v>8106416</v>
      </c>
      <c r="F77">
        <v>2796784</v>
      </c>
      <c r="H77">
        <v>0.34500869434778569</v>
      </c>
    </row>
    <row r="78" spans="1:15" hidden="1" x14ac:dyDescent="0.2">
      <c r="A78" t="s">
        <v>20</v>
      </c>
      <c r="B78" t="s">
        <v>27</v>
      </c>
      <c r="C78">
        <v>8041293</v>
      </c>
      <c r="D78">
        <v>8314405</v>
      </c>
      <c r="F78">
        <v>-273112</v>
      </c>
      <c r="H78">
        <v>-3.2848051063184919E-2</v>
      </c>
    </row>
    <row r="79" spans="1:15" ht="19" hidden="1" x14ac:dyDescent="0.25">
      <c r="A79" t="s">
        <v>21</v>
      </c>
      <c r="B79" t="s">
        <v>27</v>
      </c>
      <c r="C79">
        <v>11193318</v>
      </c>
      <c r="D79">
        <v>8108492</v>
      </c>
      <c r="E79">
        <v>9062966</v>
      </c>
      <c r="F79">
        <v>3084826</v>
      </c>
      <c r="G79">
        <v>2130352</v>
      </c>
      <c r="H79">
        <v>0.38044386058468083</v>
      </c>
      <c r="I79">
        <v>0.2350612371270068</v>
      </c>
      <c r="M79" s="10">
        <v>101044577</v>
      </c>
      <c r="O79" s="9">
        <v>1587149.52</v>
      </c>
    </row>
    <row r="80" spans="1:15" hidden="1" x14ac:dyDescent="0.2">
      <c r="A80" t="s">
        <v>9</v>
      </c>
      <c r="B80" t="s">
        <v>28</v>
      </c>
      <c r="C80">
        <v>17438801</v>
      </c>
      <c r="D80">
        <v>13569826</v>
      </c>
      <c r="F80">
        <v>3868975</v>
      </c>
      <c r="H80">
        <v>0.28511603612308661</v>
      </c>
    </row>
    <row r="81" spans="1:9" hidden="1" x14ac:dyDescent="0.2">
      <c r="A81" t="s">
        <v>10</v>
      </c>
      <c r="B81" t="s">
        <v>28</v>
      </c>
      <c r="C81">
        <v>14603195</v>
      </c>
      <c r="D81">
        <v>13525654</v>
      </c>
      <c r="F81">
        <v>1077541</v>
      </c>
      <c r="H81">
        <v>7.9666461969232688E-2</v>
      </c>
    </row>
    <row r="82" spans="1:9" hidden="1" x14ac:dyDescent="0.2">
      <c r="A82" t="s">
        <v>11</v>
      </c>
      <c r="B82" t="s">
        <v>28</v>
      </c>
      <c r="C82">
        <v>15452547</v>
      </c>
      <c r="D82">
        <v>13398823</v>
      </c>
      <c r="F82">
        <v>2053724</v>
      </c>
      <c r="H82">
        <v>0.1532764482372817</v>
      </c>
    </row>
    <row r="83" spans="1:9" hidden="1" x14ac:dyDescent="0.2">
      <c r="A83" t="s">
        <v>12</v>
      </c>
      <c r="B83" t="s">
        <v>28</v>
      </c>
      <c r="C83">
        <v>17186853</v>
      </c>
      <c r="D83">
        <v>13271172</v>
      </c>
      <c r="F83">
        <v>3915681</v>
      </c>
      <c r="H83">
        <v>0.29505163522859917</v>
      </c>
    </row>
    <row r="84" spans="1:9" hidden="1" x14ac:dyDescent="0.2">
      <c r="A84" t="s">
        <v>13</v>
      </c>
      <c r="B84" t="s">
        <v>28</v>
      </c>
      <c r="C84">
        <v>13641579</v>
      </c>
      <c r="D84">
        <v>17084079</v>
      </c>
      <c r="F84">
        <v>-3442500</v>
      </c>
      <c r="H84">
        <v>-0.20150339974428819</v>
      </c>
    </row>
    <row r="85" spans="1:9" hidden="1" x14ac:dyDescent="0.2">
      <c r="A85" t="s">
        <v>14</v>
      </c>
      <c r="B85" t="s">
        <v>28</v>
      </c>
      <c r="C85">
        <v>15145797</v>
      </c>
      <c r="D85">
        <v>16011650</v>
      </c>
      <c r="F85">
        <v>-865853</v>
      </c>
      <c r="H85">
        <v>-5.407643809351316E-2</v>
      </c>
    </row>
    <row r="86" spans="1:9" hidden="1" x14ac:dyDescent="0.2">
      <c r="A86" t="s">
        <v>15</v>
      </c>
      <c r="B86" t="s">
        <v>28</v>
      </c>
      <c r="C86">
        <v>13318438</v>
      </c>
      <c r="D86">
        <v>16680074</v>
      </c>
      <c r="F86">
        <v>-3361636</v>
      </c>
      <c r="H86">
        <v>-0.20153603635091791</v>
      </c>
    </row>
    <row r="87" spans="1:9" x14ac:dyDescent="0.2">
      <c r="A87" t="s">
        <v>16</v>
      </c>
      <c r="B87" t="s">
        <v>28</v>
      </c>
      <c r="C87">
        <v>17474231</v>
      </c>
      <c r="D87">
        <v>15730758</v>
      </c>
      <c r="F87">
        <v>1743473</v>
      </c>
      <c r="H87">
        <v>0.1108321035769541</v>
      </c>
    </row>
    <row r="88" spans="1:9" hidden="1" x14ac:dyDescent="0.2">
      <c r="A88" t="s">
        <v>17</v>
      </c>
      <c r="B88" t="s">
        <v>28</v>
      </c>
      <c r="C88">
        <v>16394337</v>
      </c>
      <c r="D88">
        <v>16077732</v>
      </c>
      <c r="F88">
        <v>316605</v>
      </c>
      <c r="H88">
        <v>1.9692143145563071E-2</v>
      </c>
    </row>
    <row r="89" spans="1:9" hidden="1" x14ac:dyDescent="0.2">
      <c r="A89" t="s">
        <v>18</v>
      </c>
      <c r="B89" t="s">
        <v>28</v>
      </c>
      <c r="C89">
        <v>17262838</v>
      </c>
      <c r="D89">
        <v>15991563</v>
      </c>
      <c r="F89">
        <v>1271275</v>
      </c>
      <c r="H89">
        <v>7.9496607054607482E-2</v>
      </c>
    </row>
    <row r="90" spans="1:9" hidden="1" x14ac:dyDescent="0.2">
      <c r="A90" t="s">
        <v>19</v>
      </c>
      <c r="B90" t="s">
        <v>28</v>
      </c>
      <c r="C90">
        <v>17561507</v>
      </c>
      <c r="D90">
        <v>16342605</v>
      </c>
      <c r="F90">
        <v>1218902</v>
      </c>
      <c r="H90">
        <v>7.4584315046469035E-2</v>
      </c>
    </row>
    <row r="91" spans="1:9" hidden="1" x14ac:dyDescent="0.2">
      <c r="A91" t="s">
        <v>20</v>
      </c>
      <c r="B91" t="s">
        <v>28</v>
      </c>
      <c r="C91">
        <v>19165589</v>
      </c>
      <c r="D91">
        <v>15930658</v>
      </c>
      <c r="F91">
        <v>3234931</v>
      </c>
      <c r="H91">
        <v>0.20306323819141681</v>
      </c>
    </row>
    <row r="92" spans="1:9" hidden="1" x14ac:dyDescent="0.2">
      <c r="A92" t="s">
        <v>21</v>
      </c>
      <c r="B92" t="s">
        <v>28</v>
      </c>
      <c r="C92">
        <v>15278189</v>
      </c>
      <c r="D92">
        <v>15890908</v>
      </c>
      <c r="E92">
        <v>17438801</v>
      </c>
      <c r="F92">
        <v>-612719</v>
      </c>
      <c r="G92">
        <v>-2160612</v>
      </c>
      <c r="H92">
        <v>-3.8557834454771241E-2</v>
      </c>
      <c r="I92">
        <v>-0.12389682065871389</v>
      </c>
    </row>
    <row r="93" spans="1:9" hidden="1" x14ac:dyDescent="0.2">
      <c r="A93" t="s">
        <v>9</v>
      </c>
      <c r="B93" t="s">
        <v>29</v>
      </c>
      <c r="C93">
        <v>2630904</v>
      </c>
      <c r="D93">
        <v>2082870</v>
      </c>
      <c r="F93">
        <v>548034</v>
      </c>
      <c r="H93">
        <v>0.26311483673969088</v>
      </c>
    </row>
    <row r="94" spans="1:9" hidden="1" x14ac:dyDescent="0.2">
      <c r="A94" t="s">
        <v>10</v>
      </c>
      <c r="B94" t="s">
        <v>29</v>
      </c>
      <c r="C94">
        <v>2031128</v>
      </c>
      <c r="D94">
        <v>2039244</v>
      </c>
      <c r="F94">
        <v>-8116</v>
      </c>
      <c r="H94">
        <v>-3.9799062789935878E-3</v>
      </c>
    </row>
    <row r="95" spans="1:9" hidden="1" x14ac:dyDescent="0.2">
      <c r="A95" t="s">
        <v>11</v>
      </c>
      <c r="B95" t="s">
        <v>29</v>
      </c>
      <c r="C95">
        <v>2534228</v>
      </c>
      <c r="D95">
        <v>2018213</v>
      </c>
      <c r="F95">
        <v>516015</v>
      </c>
      <c r="H95">
        <v>0.25567915774995009</v>
      </c>
    </row>
    <row r="96" spans="1:9" hidden="1" x14ac:dyDescent="0.2">
      <c r="A96" t="s">
        <v>12</v>
      </c>
      <c r="B96" t="s">
        <v>29</v>
      </c>
      <c r="C96">
        <v>2275544</v>
      </c>
      <c r="D96">
        <v>1955319</v>
      </c>
      <c r="F96">
        <v>320225</v>
      </c>
      <c r="H96">
        <v>0.16377123119040929</v>
      </c>
    </row>
    <row r="97" spans="1:9" hidden="1" x14ac:dyDescent="0.2">
      <c r="A97" t="s">
        <v>13</v>
      </c>
      <c r="B97" t="s">
        <v>29</v>
      </c>
      <c r="C97">
        <v>1882848</v>
      </c>
      <c r="D97">
        <v>2608574</v>
      </c>
      <c r="F97">
        <v>-725726</v>
      </c>
      <c r="H97">
        <v>-0.27820794043028868</v>
      </c>
    </row>
    <row r="98" spans="1:9" hidden="1" x14ac:dyDescent="0.2">
      <c r="A98" t="s">
        <v>14</v>
      </c>
      <c r="B98" t="s">
        <v>29</v>
      </c>
      <c r="C98">
        <v>2609067</v>
      </c>
      <c r="D98">
        <v>2542310</v>
      </c>
      <c r="F98">
        <v>66757</v>
      </c>
      <c r="H98">
        <v>2.6258402791162368E-2</v>
      </c>
    </row>
    <row r="99" spans="1:9" hidden="1" x14ac:dyDescent="0.2">
      <c r="A99" t="s">
        <v>15</v>
      </c>
      <c r="B99" t="s">
        <v>29</v>
      </c>
      <c r="C99">
        <v>2104071</v>
      </c>
      <c r="D99">
        <v>2471084</v>
      </c>
      <c r="F99">
        <v>-367013</v>
      </c>
      <c r="H99">
        <v>-0.1485230773215318</v>
      </c>
    </row>
    <row r="100" spans="1:9" x14ac:dyDescent="0.2">
      <c r="A100" t="s">
        <v>16</v>
      </c>
      <c r="B100" t="s">
        <v>29</v>
      </c>
      <c r="C100">
        <v>2452130</v>
      </c>
      <c r="D100">
        <v>2608548</v>
      </c>
      <c r="F100">
        <v>-156418</v>
      </c>
      <c r="H100">
        <v>-5.9963627274637082E-2</v>
      </c>
    </row>
    <row r="101" spans="1:9" hidden="1" x14ac:dyDescent="0.2">
      <c r="A101" t="s">
        <v>17</v>
      </c>
      <c r="B101" t="s">
        <v>29</v>
      </c>
      <c r="C101">
        <v>2597075</v>
      </c>
      <c r="D101">
        <v>2579135</v>
      </c>
      <c r="F101">
        <v>17940</v>
      </c>
      <c r="H101">
        <v>6.9558204591849589E-3</v>
      </c>
    </row>
    <row r="102" spans="1:9" hidden="1" x14ac:dyDescent="0.2">
      <c r="A102" t="s">
        <v>18</v>
      </c>
      <c r="B102" t="s">
        <v>29</v>
      </c>
      <c r="C102">
        <v>2376636</v>
      </c>
      <c r="D102">
        <v>2404580</v>
      </c>
      <c r="F102">
        <v>-27944</v>
      </c>
      <c r="H102">
        <v>-1.1621156293406751E-2</v>
      </c>
    </row>
    <row r="103" spans="1:9" hidden="1" x14ac:dyDescent="0.2">
      <c r="A103" t="s">
        <v>19</v>
      </c>
      <c r="B103" t="s">
        <v>29</v>
      </c>
      <c r="C103">
        <v>1944490</v>
      </c>
      <c r="D103">
        <v>2608910</v>
      </c>
      <c r="F103">
        <v>-664420</v>
      </c>
      <c r="H103">
        <v>-0.25467340766833663</v>
      </c>
    </row>
    <row r="104" spans="1:9" hidden="1" x14ac:dyDescent="0.2">
      <c r="A104" t="s">
        <v>20</v>
      </c>
      <c r="B104" t="s">
        <v>29</v>
      </c>
      <c r="C104">
        <v>2344610</v>
      </c>
      <c r="D104">
        <v>2385778</v>
      </c>
      <c r="F104">
        <v>-41168</v>
      </c>
      <c r="H104">
        <v>-1.7255587066357391E-2</v>
      </c>
    </row>
    <row r="105" spans="1:9" hidden="1" x14ac:dyDescent="0.2">
      <c r="A105" t="s">
        <v>21</v>
      </c>
      <c r="B105" t="s">
        <v>29</v>
      </c>
      <c r="C105">
        <v>1890376</v>
      </c>
      <c r="D105">
        <v>2549937</v>
      </c>
      <c r="E105">
        <v>2630904</v>
      </c>
      <c r="F105">
        <v>-659561</v>
      </c>
      <c r="G105">
        <v>-740528</v>
      </c>
      <c r="H105">
        <v>-0.25865776291727988</v>
      </c>
      <c r="I105">
        <v>-0.28147283215199032</v>
      </c>
    </row>
    <row r="106" spans="1:9" hidden="1" x14ac:dyDescent="0.2">
      <c r="A106" t="s">
        <v>9</v>
      </c>
      <c r="B106" t="s">
        <v>30</v>
      </c>
      <c r="C106">
        <v>1041361</v>
      </c>
      <c r="D106">
        <v>1192987</v>
      </c>
      <c r="F106">
        <v>-151626</v>
      </c>
      <c r="H106">
        <v>-0.127097780612865</v>
      </c>
    </row>
    <row r="107" spans="1:9" hidden="1" x14ac:dyDescent="0.2">
      <c r="A107" t="s">
        <v>10</v>
      </c>
      <c r="B107" t="s">
        <v>30</v>
      </c>
      <c r="C107">
        <v>1323726</v>
      </c>
      <c r="D107">
        <v>1258570</v>
      </c>
      <c r="F107">
        <v>65156</v>
      </c>
      <c r="H107">
        <v>5.1769865800074692E-2</v>
      </c>
    </row>
    <row r="108" spans="1:9" hidden="1" x14ac:dyDescent="0.2">
      <c r="A108" t="s">
        <v>11</v>
      </c>
      <c r="B108" t="s">
        <v>30</v>
      </c>
      <c r="C108">
        <v>1377339</v>
      </c>
      <c r="D108">
        <v>1200824</v>
      </c>
      <c r="F108">
        <v>176515</v>
      </c>
      <c r="H108">
        <v>0.14699489683750491</v>
      </c>
    </row>
    <row r="109" spans="1:9" hidden="1" x14ac:dyDescent="0.2">
      <c r="A109" t="s">
        <v>12</v>
      </c>
      <c r="B109" t="s">
        <v>30</v>
      </c>
      <c r="C109">
        <v>1408614</v>
      </c>
      <c r="D109">
        <v>1202427</v>
      </c>
      <c r="F109">
        <v>206187</v>
      </c>
      <c r="H109">
        <v>0.17147569041613339</v>
      </c>
    </row>
    <row r="110" spans="1:9" hidden="1" x14ac:dyDescent="0.2">
      <c r="A110" t="s">
        <v>13</v>
      </c>
      <c r="B110" t="s">
        <v>30</v>
      </c>
      <c r="C110">
        <v>1207734</v>
      </c>
      <c r="D110">
        <v>1581639</v>
      </c>
      <c r="F110">
        <v>-373905</v>
      </c>
      <c r="H110">
        <v>-0.23640350294852369</v>
      </c>
    </row>
    <row r="111" spans="1:9" hidden="1" x14ac:dyDescent="0.2">
      <c r="A111" t="s">
        <v>14</v>
      </c>
      <c r="B111" t="s">
        <v>30</v>
      </c>
      <c r="C111">
        <v>1376130</v>
      </c>
      <c r="D111">
        <v>1597497</v>
      </c>
      <c r="F111">
        <v>-221367</v>
      </c>
      <c r="H111">
        <v>-0.13857115224629529</v>
      </c>
    </row>
    <row r="112" spans="1:9" hidden="1" x14ac:dyDescent="0.2">
      <c r="A112" t="s">
        <v>15</v>
      </c>
      <c r="B112" t="s">
        <v>30</v>
      </c>
      <c r="C112">
        <v>1380274</v>
      </c>
      <c r="D112">
        <v>1554135</v>
      </c>
      <c r="F112">
        <v>-173861</v>
      </c>
      <c r="H112">
        <v>-0.11186994694798071</v>
      </c>
    </row>
    <row r="113" spans="1:9" x14ac:dyDescent="0.2">
      <c r="A113" t="s">
        <v>16</v>
      </c>
      <c r="B113" t="s">
        <v>30</v>
      </c>
      <c r="C113">
        <v>1087384</v>
      </c>
      <c r="D113">
        <v>1523172</v>
      </c>
      <c r="F113">
        <v>-435788</v>
      </c>
      <c r="H113">
        <v>-0.28610557441969792</v>
      </c>
    </row>
    <row r="114" spans="1:9" hidden="1" x14ac:dyDescent="0.2">
      <c r="A114" t="s">
        <v>17</v>
      </c>
      <c r="B114" t="s">
        <v>30</v>
      </c>
      <c r="C114">
        <v>1176469</v>
      </c>
      <c r="D114">
        <v>1504074</v>
      </c>
      <c r="F114">
        <v>-327605</v>
      </c>
      <c r="H114">
        <v>-0.21781175660240121</v>
      </c>
    </row>
    <row r="115" spans="1:9" hidden="1" x14ac:dyDescent="0.2">
      <c r="A115" t="s">
        <v>18</v>
      </c>
      <c r="B115" t="s">
        <v>30</v>
      </c>
      <c r="C115">
        <v>1544081</v>
      </c>
      <c r="D115">
        <v>1527090</v>
      </c>
      <c r="F115">
        <v>16991</v>
      </c>
      <c r="H115">
        <v>1.112639071698459E-2</v>
      </c>
    </row>
    <row r="116" spans="1:9" hidden="1" x14ac:dyDescent="0.2">
      <c r="A116" t="s">
        <v>19</v>
      </c>
      <c r="B116" t="s">
        <v>30</v>
      </c>
      <c r="C116">
        <v>1502031</v>
      </c>
      <c r="D116">
        <v>1563834</v>
      </c>
      <c r="F116">
        <v>-61803</v>
      </c>
      <c r="H116">
        <v>-3.9520179251762023E-2</v>
      </c>
    </row>
    <row r="117" spans="1:9" hidden="1" x14ac:dyDescent="0.2">
      <c r="A117" t="s">
        <v>20</v>
      </c>
      <c r="B117" t="s">
        <v>30</v>
      </c>
      <c r="C117">
        <v>1451530</v>
      </c>
      <c r="D117">
        <v>1543998</v>
      </c>
      <c r="F117">
        <v>-92468</v>
      </c>
      <c r="H117">
        <v>-5.9888678612277993E-2</v>
      </c>
    </row>
    <row r="118" spans="1:9" hidden="1" x14ac:dyDescent="0.2">
      <c r="A118" t="s">
        <v>21</v>
      </c>
      <c r="B118" t="s">
        <v>30</v>
      </c>
      <c r="C118">
        <v>1338357</v>
      </c>
      <c r="D118">
        <v>1542436</v>
      </c>
      <c r="E118">
        <v>1041361</v>
      </c>
      <c r="F118">
        <v>-204079</v>
      </c>
      <c r="G118">
        <v>296996</v>
      </c>
      <c r="H118">
        <v>-0.1323095415304103</v>
      </c>
      <c r="I118">
        <v>0.28519984904370338</v>
      </c>
    </row>
    <row r="119" spans="1:9" hidden="1" x14ac:dyDescent="0.2">
      <c r="A119" t="s">
        <v>9</v>
      </c>
      <c r="B119" t="s">
        <v>31</v>
      </c>
      <c r="C119">
        <v>4563576</v>
      </c>
      <c r="D119">
        <v>5674766</v>
      </c>
      <c r="F119">
        <v>-1111190</v>
      </c>
      <c r="H119">
        <v>-0.19581247931632781</v>
      </c>
    </row>
    <row r="120" spans="1:9" hidden="1" x14ac:dyDescent="0.2">
      <c r="A120" t="s">
        <v>10</v>
      </c>
      <c r="B120" t="s">
        <v>31</v>
      </c>
      <c r="C120">
        <v>4741379</v>
      </c>
      <c r="D120">
        <v>5287212</v>
      </c>
      <c r="F120">
        <v>-545833</v>
      </c>
      <c r="H120">
        <v>-0.1032364505149406</v>
      </c>
    </row>
    <row r="121" spans="1:9" hidden="1" x14ac:dyDescent="0.2">
      <c r="A121" t="s">
        <v>11</v>
      </c>
      <c r="B121" t="s">
        <v>31</v>
      </c>
      <c r="C121">
        <v>5499535</v>
      </c>
      <c r="D121">
        <v>5372032</v>
      </c>
      <c r="F121">
        <v>127503</v>
      </c>
      <c r="H121">
        <v>2.3734594283876191E-2</v>
      </c>
    </row>
    <row r="122" spans="1:9" hidden="1" x14ac:dyDescent="0.2">
      <c r="A122" t="s">
        <v>12</v>
      </c>
      <c r="B122" t="s">
        <v>31</v>
      </c>
      <c r="C122">
        <v>6112766</v>
      </c>
      <c r="D122">
        <v>5803265</v>
      </c>
      <c r="F122">
        <v>309501</v>
      </c>
      <c r="H122">
        <v>5.3332219018087233E-2</v>
      </c>
    </row>
    <row r="123" spans="1:9" hidden="1" x14ac:dyDescent="0.2">
      <c r="A123" t="s">
        <v>13</v>
      </c>
      <c r="B123" t="s">
        <v>31</v>
      </c>
      <c r="C123">
        <v>6059560</v>
      </c>
      <c r="D123">
        <v>6848998</v>
      </c>
      <c r="F123">
        <v>-789438</v>
      </c>
      <c r="H123">
        <v>-0.1152632837679322</v>
      </c>
    </row>
    <row r="124" spans="1:9" hidden="1" x14ac:dyDescent="0.2">
      <c r="A124" t="s">
        <v>14</v>
      </c>
      <c r="B124" t="s">
        <v>31</v>
      </c>
      <c r="C124">
        <v>4189828</v>
      </c>
      <c r="D124">
        <v>7236311</v>
      </c>
      <c r="F124">
        <v>-3046483</v>
      </c>
      <c r="H124">
        <v>-0.42099945676740541</v>
      </c>
    </row>
    <row r="125" spans="1:9" hidden="1" x14ac:dyDescent="0.2">
      <c r="A125" t="s">
        <v>15</v>
      </c>
      <c r="B125" t="s">
        <v>31</v>
      </c>
      <c r="C125">
        <v>5047826</v>
      </c>
      <c r="D125">
        <v>7262913</v>
      </c>
      <c r="F125">
        <v>-2215087</v>
      </c>
      <c r="H125">
        <v>-0.30498602971011768</v>
      </c>
    </row>
    <row r="126" spans="1:9" x14ac:dyDescent="0.2">
      <c r="A126" t="s">
        <v>16</v>
      </c>
      <c r="B126" t="s">
        <v>31</v>
      </c>
      <c r="C126">
        <v>6160915</v>
      </c>
      <c r="D126">
        <v>7184053</v>
      </c>
      <c r="F126">
        <v>-1023138</v>
      </c>
      <c r="H126">
        <v>-0.1424179359478556</v>
      </c>
    </row>
    <row r="127" spans="1:9" hidden="1" x14ac:dyDescent="0.2">
      <c r="A127" t="s">
        <v>17</v>
      </c>
      <c r="B127" t="s">
        <v>31</v>
      </c>
      <c r="C127">
        <v>4769810</v>
      </c>
      <c r="D127">
        <v>6859364</v>
      </c>
      <c r="F127">
        <v>-2089554</v>
      </c>
      <c r="H127">
        <v>-0.30462795092956141</v>
      </c>
    </row>
    <row r="128" spans="1:9" hidden="1" x14ac:dyDescent="0.2">
      <c r="A128" t="s">
        <v>18</v>
      </c>
      <c r="B128" t="s">
        <v>31</v>
      </c>
      <c r="C128">
        <v>5927079</v>
      </c>
      <c r="D128">
        <v>6812057</v>
      </c>
      <c r="F128">
        <v>-884978</v>
      </c>
      <c r="H128">
        <v>-0.12991347547444179</v>
      </c>
    </row>
    <row r="129" spans="1:13" hidden="1" x14ac:dyDescent="0.2">
      <c r="A129" t="s">
        <v>19</v>
      </c>
      <c r="B129" t="s">
        <v>31</v>
      </c>
      <c r="C129">
        <v>4510045</v>
      </c>
      <c r="D129">
        <v>6978511</v>
      </c>
      <c r="F129">
        <v>-2468466</v>
      </c>
      <c r="H129">
        <v>-0.35372388178509712</v>
      </c>
    </row>
    <row r="130" spans="1:13" hidden="1" x14ac:dyDescent="0.2">
      <c r="A130" t="s">
        <v>20</v>
      </c>
      <c r="B130" t="s">
        <v>31</v>
      </c>
      <c r="C130">
        <v>6103819</v>
      </c>
      <c r="D130">
        <v>7075123</v>
      </c>
      <c r="F130">
        <v>-971304</v>
      </c>
      <c r="H130">
        <v>-0.1372843977412124</v>
      </c>
    </row>
    <row r="131" spans="1:13" hidden="1" x14ac:dyDescent="0.2">
      <c r="A131" t="s">
        <v>21</v>
      </c>
      <c r="B131" t="s">
        <v>31</v>
      </c>
      <c r="C131">
        <v>5342766</v>
      </c>
      <c r="D131">
        <v>6659573</v>
      </c>
      <c r="E131">
        <v>4563576</v>
      </c>
      <c r="F131">
        <v>-1316807</v>
      </c>
      <c r="G131">
        <v>779190</v>
      </c>
      <c r="H131">
        <v>-0.19773144614527091</v>
      </c>
      <c r="I131">
        <v>0.17074110302972931</v>
      </c>
    </row>
    <row r="132" spans="1:13" hidden="1" x14ac:dyDescent="0.2">
      <c r="A132" t="s">
        <v>9</v>
      </c>
      <c r="B132" t="s">
        <v>32</v>
      </c>
      <c r="C132">
        <v>6106484</v>
      </c>
      <c r="D132">
        <v>6577101</v>
      </c>
      <c r="F132">
        <v>-470617</v>
      </c>
      <c r="H132">
        <v>-7.1553865449230591E-2</v>
      </c>
    </row>
    <row r="133" spans="1:13" hidden="1" x14ac:dyDescent="0.2">
      <c r="A133" t="s">
        <v>10</v>
      </c>
      <c r="B133" t="s">
        <v>32</v>
      </c>
      <c r="C133">
        <v>4997458</v>
      </c>
      <c r="D133">
        <v>6281337</v>
      </c>
      <c r="F133">
        <v>-1283879</v>
      </c>
      <c r="H133">
        <v>-0.2043958157315871</v>
      </c>
    </row>
    <row r="134" spans="1:13" hidden="1" x14ac:dyDescent="0.2">
      <c r="A134" t="s">
        <v>11</v>
      </c>
      <c r="B134" t="s">
        <v>32</v>
      </c>
      <c r="C134">
        <v>6719153</v>
      </c>
      <c r="D134">
        <v>6420803</v>
      </c>
      <c r="F134">
        <v>298350</v>
      </c>
      <c r="H134">
        <v>4.6466150729122198E-2</v>
      </c>
    </row>
    <row r="135" spans="1:13" hidden="1" x14ac:dyDescent="0.2">
      <c r="A135" t="s">
        <v>12</v>
      </c>
      <c r="B135" t="s">
        <v>32</v>
      </c>
      <c r="C135">
        <v>6297988</v>
      </c>
      <c r="D135">
        <v>6396799</v>
      </c>
      <c r="F135">
        <v>-98811</v>
      </c>
      <c r="H135">
        <v>-1.544694463590305E-2</v>
      </c>
    </row>
    <row r="136" spans="1:13" hidden="1" x14ac:dyDescent="0.2">
      <c r="A136" t="s">
        <v>13</v>
      </c>
      <c r="B136" t="s">
        <v>32</v>
      </c>
      <c r="C136">
        <v>5509811</v>
      </c>
      <c r="D136">
        <v>7675538</v>
      </c>
      <c r="F136">
        <v>-2165727</v>
      </c>
      <c r="H136">
        <v>-0.28215963493373358</v>
      </c>
    </row>
    <row r="137" spans="1:13" hidden="1" x14ac:dyDescent="0.2">
      <c r="A137" t="s">
        <v>14</v>
      </c>
      <c r="B137" t="s">
        <v>32</v>
      </c>
      <c r="C137">
        <v>6560334</v>
      </c>
      <c r="D137">
        <v>8080352</v>
      </c>
      <c r="F137">
        <v>-1520018</v>
      </c>
      <c r="H137">
        <v>-0.18811284458894861</v>
      </c>
    </row>
    <row r="138" spans="1:13" hidden="1" x14ac:dyDescent="0.2">
      <c r="A138" t="s">
        <v>15</v>
      </c>
      <c r="B138" t="s">
        <v>32</v>
      </c>
      <c r="C138">
        <v>6695099</v>
      </c>
      <c r="D138">
        <v>8161176</v>
      </c>
      <c r="F138">
        <v>-1466077</v>
      </c>
      <c r="H138">
        <v>-0.17964040966645001</v>
      </c>
    </row>
    <row r="139" spans="1:13" x14ac:dyDescent="0.2">
      <c r="A139" t="s">
        <v>16</v>
      </c>
      <c r="B139" t="s">
        <v>32</v>
      </c>
      <c r="C139">
        <v>5864410</v>
      </c>
      <c r="D139">
        <v>7838495</v>
      </c>
      <c r="F139">
        <v>-1974085</v>
      </c>
      <c r="H139">
        <v>-0.25184490134904719</v>
      </c>
    </row>
    <row r="140" spans="1:13" hidden="1" x14ac:dyDescent="0.2">
      <c r="A140" t="s">
        <v>17</v>
      </c>
      <c r="B140" t="s">
        <v>32</v>
      </c>
      <c r="C140">
        <v>6534493</v>
      </c>
      <c r="D140">
        <v>7954838</v>
      </c>
      <c r="F140">
        <v>-1420345</v>
      </c>
      <c r="H140">
        <v>-0.1785510905438929</v>
      </c>
    </row>
    <row r="141" spans="1:13" hidden="1" x14ac:dyDescent="0.2">
      <c r="A141" t="s">
        <v>18</v>
      </c>
      <c r="B141" t="s">
        <v>32</v>
      </c>
      <c r="C141">
        <v>6309550</v>
      </c>
      <c r="D141">
        <v>8069128</v>
      </c>
      <c r="F141">
        <v>-1759578</v>
      </c>
      <c r="H141">
        <v>-0.21806296789442431</v>
      </c>
    </row>
    <row r="142" spans="1:13" hidden="1" x14ac:dyDescent="0.2">
      <c r="A142" t="s">
        <v>19</v>
      </c>
      <c r="B142" t="s">
        <v>32</v>
      </c>
      <c r="C142">
        <v>6748652</v>
      </c>
      <c r="D142">
        <v>7710338</v>
      </c>
      <c r="F142">
        <v>-961686</v>
      </c>
      <c r="H142">
        <v>-0.12472682779924819</v>
      </c>
    </row>
    <row r="143" spans="1:13" hidden="1" x14ac:dyDescent="0.2">
      <c r="A143" t="s">
        <v>20</v>
      </c>
      <c r="B143" t="s">
        <v>32</v>
      </c>
      <c r="C143">
        <v>5547388</v>
      </c>
      <c r="D143">
        <v>7519097</v>
      </c>
      <c r="F143">
        <v>-1971709</v>
      </c>
      <c r="H143">
        <v>-0.26222683388710111</v>
      </c>
    </row>
    <row r="144" spans="1:13" hidden="1" x14ac:dyDescent="0.2">
      <c r="A144" t="s">
        <v>21</v>
      </c>
      <c r="B144" t="s">
        <v>32</v>
      </c>
      <c r="C144">
        <v>6020721</v>
      </c>
      <c r="D144">
        <v>7473610</v>
      </c>
      <c r="E144">
        <v>6106484</v>
      </c>
      <c r="F144">
        <v>-1452889</v>
      </c>
      <c r="G144">
        <v>-85763</v>
      </c>
      <c r="H144">
        <v>-0.19440257118046031</v>
      </c>
      <c r="I144">
        <v>-1.4044579499430439E-2</v>
      </c>
      <c r="M144" s="5">
        <f>(O79/M79)</f>
        <v>1.5707419112655597E-2</v>
      </c>
    </row>
    <row r="145" spans="1:9" hidden="1" x14ac:dyDescent="0.2">
      <c r="A145" t="s">
        <v>9</v>
      </c>
      <c r="B145" t="s">
        <v>33</v>
      </c>
      <c r="C145">
        <v>13236094</v>
      </c>
      <c r="D145">
        <v>13094719</v>
      </c>
      <c r="F145">
        <v>141375</v>
      </c>
      <c r="H145">
        <v>1.079633705771006E-2</v>
      </c>
    </row>
    <row r="146" spans="1:9" hidden="1" x14ac:dyDescent="0.2">
      <c r="A146" t="s">
        <v>10</v>
      </c>
      <c r="B146" t="s">
        <v>33</v>
      </c>
      <c r="C146">
        <v>12274861</v>
      </c>
      <c r="D146">
        <v>13157553</v>
      </c>
      <c r="F146">
        <v>-882692</v>
      </c>
      <c r="H146">
        <v>-6.708633436627616E-2</v>
      </c>
    </row>
    <row r="147" spans="1:9" hidden="1" x14ac:dyDescent="0.2">
      <c r="A147" t="s">
        <v>11</v>
      </c>
      <c r="B147" t="s">
        <v>33</v>
      </c>
      <c r="C147">
        <v>10900354</v>
      </c>
      <c r="D147">
        <v>12435857</v>
      </c>
      <c r="F147">
        <v>-1535503</v>
      </c>
      <c r="H147">
        <v>-0.1234738385943164</v>
      </c>
    </row>
    <row r="148" spans="1:9" hidden="1" x14ac:dyDescent="0.2">
      <c r="A148" t="s">
        <v>12</v>
      </c>
      <c r="B148" t="s">
        <v>33</v>
      </c>
      <c r="C148">
        <v>15152594</v>
      </c>
      <c r="D148">
        <v>12856815</v>
      </c>
      <c r="F148">
        <v>2295779</v>
      </c>
      <c r="H148">
        <v>0.17856514230001749</v>
      </c>
    </row>
    <row r="149" spans="1:9" hidden="1" x14ac:dyDescent="0.2">
      <c r="A149" t="s">
        <v>13</v>
      </c>
      <c r="B149" t="s">
        <v>33</v>
      </c>
      <c r="C149">
        <v>11418719</v>
      </c>
      <c r="D149">
        <v>16335147</v>
      </c>
      <c r="F149">
        <v>-4916428</v>
      </c>
      <c r="H149">
        <v>-0.3009723757000779</v>
      </c>
    </row>
    <row r="150" spans="1:9" hidden="1" x14ac:dyDescent="0.2">
      <c r="A150" t="s">
        <v>14</v>
      </c>
      <c r="B150" t="s">
        <v>33</v>
      </c>
      <c r="C150">
        <v>14870183</v>
      </c>
      <c r="D150">
        <v>15835712</v>
      </c>
      <c r="F150">
        <v>-965529</v>
      </c>
      <c r="H150">
        <v>-6.0971619084762341E-2</v>
      </c>
    </row>
    <row r="151" spans="1:9" hidden="1" x14ac:dyDescent="0.2">
      <c r="A151" t="s">
        <v>15</v>
      </c>
      <c r="B151" t="s">
        <v>33</v>
      </c>
      <c r="C151">
        <v>14080488</v>
      </c>
      <c r="D151">
        <v>15623055</v>
      </c>
      <c r="F151">
        <v>-1542567</v>
      </c>
      <c r="H151">
        <v>-9.8736578729320221E-2</v>
      </c>
    </row>
    <row r="152" spans="1:9" x14ac:dyDescent="0.2">
      <c r="A152" t="s">
        <v>16</v>
      </c>
      <c r="B152" t="s">
        <v>33</v>
      </c>
      <c r="C152">
        <v>11014063</v>
      </c>
      <c r="D152">
        <v>16349997</v>
      </c>
      <c r="F152">
        <v>-5335934</v>
      </c>
      <c r="H152">
        <v>-0.32635687945386171</v>
      </c>
    </row>
    <row r="153" spans="1:9" hidden="1" x14ac:dyDescent="0.2">
      <c r="A153" t="s">
        <v>17</v>
      </c>
      <c r="B153" t="s">
        <v>33</v>
      </c>
      <c r="C153">
        <v>13638916</v>
      </c>
      <c r="D153">
        <v>16522888</v>
      </c>
      <c r="F153">
        <v>-2883972</v>
      </c>
      <c r="H153">
        <v>-0.17454406275706769</v>
      </c>
    </row>
    <row r="154" spans="1:9" hidden="1" x14ac:dyDescent="0.2">
      <c r="A154" t="s">
        <v>18</v>
      </c>
      <c r="B154" t="s">
        <v>33</v>
      </c>
      <c r="C154">
        <v>14634502</v>
      </c>
      <c r="D154">
        <v>17074479</v>
      </c>
      <c r="F154">
        <v>-2439977</v>
      </c>
      <c r="H154">
        <v>-0.14290198840034879</v>
      </c>
    </row>
    <row r="155" spans="1:9" hidden="1" x14ac:dyDescent="0.2">
      <c r="A155" t="s">
        <v>19</v>
      </c>
      <c r="B155" t="s">
        <v>33</v>
      </c>
      <c r="C155">
        <v>13508279</v>
      </c>
      <c r="D155">
        <v>16010331</v>
      </c>
      <c r="F155">
        <v>-2502052</v>
      </c>
      <c r="H155">
        <v>-0.15627734367265739</v>
      </c>
    </row>
    <row r="156" spans="1:9" hidden="1" x14ac:dyDescent="0.2">
      <c r="A156" t="s">
        <v>20</v>
      </c>
      <c r="B156" t="s">
        <v>33</v>
      </c>
      <c r="C156">
        <v>15005425</v>
      </c>
      <c r="D156">
        <v>15925374</v>
      </c>
      <c r="F156">
        <v>-919949</v>
      </c>
      <c r="H156">
        <v>-5.7766241471000943E-2</v>
      </c>
    </row>
    <row r="157" spans="1:9" hidden="1" x14ac:dyDescent="0.2">
      <c r="A157" t="s">
        <v>21</v>
      </c>
      <c r="B157" t="s">
        <v>33</v>
      </c>
      <c r="C157">
        <v>13093154</v>
      </c>
      <c r="D157">
        <v>15611823</v>
      </c>
      <c r="E157">
        <v>13236094</v>
      </c>
      <c r="F157">
        <v>-2518669</v>
      </c>
      <c r="G157">
        <v>-142940</v>
      </c>
      <c r="H157">
        <v>-0.16133087084064429</v>
      </c>
      <c r="I157">
        <v>-1.0799258451926979E-2</v>
      </c>
    </row>
    <row r="158" spans="1:9" hidden="1" x14ac:dyDescent="0.2">
      <c r="A158" t="s">
        <v>9</v>
      </c>
      <c r="B158" t="s">
        <v>34</v>
      </c>
      <c r="C158">
        <v>8719611</v>
      </c>
      <c r="D158">
        <v>12138554</v>
      </c>
      <c r="F158">
        <v>-3418943</v>
      </c>
      <c r="H158">
        <v>-0.28165982537953038</v>
      </c>
    </row>
    <row r="159" spans="1:9" hidden="1" x14ac:dyDescent="0.2">
      <c r="A159" t="s">
        <v>10</v>
      </c>
      <c r="B159" t="s">
        <v>34</v>
      </c>
      <c r="C159">
        <v>12209561</v>
      </c>
      <c r="D159">
        <v>11829164</v>
      </c>
      <c r="F159">
        <v>380397</v>
      </c>
      <c r="H159">
        <v>3.2157555681872362E-2</v>
      </c>
    </row>
    <row r="160" spans="1:9" hidden="1" x14ac:dyDescent="0.2">
      <c r="A160" t="s">
        <v>11</v>
      </c>
      <c r="B160" t="s">
        <v>34</v>
      </c>
      <c r="C160">
        <v>10371109</v>
      </c>
      <c r="D160">
        <v>11222762</v>
      </c>
      <c r="F160">
        <v>-851653</v>
      </c>
      <c r="H160">
        <v>-7.5886221235022186E-2</v>
      </c>
    </row>
    <row r="161" spans="1:9" hidden="1" x14ac:dyDescent="0.2">
      <c r="A161" t="s">
        <v>12</v>
      </c>
      <c r="B161" t="s">
        <v>34</v>
      </c>
      <c r="C161">
        <v>9283968</v>
      </c>
      <c r="D161">
        <v>11312036</v>
      </c>
      <c r="F161">
        <v>-2028068</v>
      </c>
      <c r="H161">
        <v>-0.17928408290072631</v>
      </c>
    </row>
    <row r="162" spans="1:9" hidden="1" x14ac:dyDescent="0.2">
      <c r="A162" t="s">
        <v>13</v>
      </c>
      <c r="B162" t="s">
        <v>34</v>
      </c>
      <c r="C162">
        <v>10975020</v>
      </c>
      <c r="D162">
        <v>14813461</v>
      </c>
      <c r="F162">
        <v>-3838441</v>
      </c>
      <c r="H162">
        <v>-0.25911844639142728</v>
      </c>
    </row>
    <row r="163" spans="1:9" hidden="1" x14ac:dyDescent="0.2">
      <c r="A163" t="s">
        <v>14</v>
      </c>
      <c r="B163" t="s">
        <v>34</v>
      </c>
      <c r="C163">
        <v>11452775</v>
      </c>
      <c r="D163">
        <v>14183103</v>
      </c>
      <c r="F163">
        <v>-2730328</v>
      </c>
      <c r="H163">
        <v>-0.1925056879302082</v>
      </c>
    </row>
    <row r="164" spans="1:9" hidden="1" x14ac:dyDescent="0.2">
      <c r="A164" t="s">
        <v>15</v>
      </c>
      <c r="B164" t="s">
        <v>34</v>
      </c>
      <c r="C164">
        <v>12721390</v>
      </c>
      <c r="D164">
        <v>14847253</v>
      </c>
      <c r="F164">
        <v>-2125863</v>
      </c>
      <c r="H164">
        <v>-0.14318224388039999</v>
      </c>
    </row>
    <row r="165" spans="1:9" x14ac:dyDescent="0.2">
      <c r="A165" t="s">
        <v>16</v>
      </c>
      <c r="B165" t="s">
        <v>34</v>
      </c>
      <c r="C165">
        <v>10997095</v>
      </c>
      <c r="D165">
        <v>14664269</v>
      </c>
      <c r="F165">
        <v>-3667174</v>
      </c>
      <c r="H165">
        <v>-0.25007547256532192</v>
      </c>
    </row>
    <row r="166" spans="1:9" hidden="1" x14ac:dyDescent="0.2">
      <c r="A166" t="s">
        <v>17</v>
      </c>
      <c r="B166" t="s">
        <v>34</v>
      </c>
      <c r="C166">
        <v>10416947</v>
      </c>
      <c r="D166">
        <v>14136402</v>
      </c>
      <c r="F166">
        <v>-3719455</v>
      </c>
      <c r="H166">
        <v>-0.26311185830736838</v>
      </c>
    </row>
    <row r="167" spans="1:9" hidden="1" x14ac:dyDescent="0.2">
      <c r="A167" t="s">
        <v>18</v>
      </c>
      <c r="B167" t="s">
        <v>34</v>
      </c>
      <c r="C167">
        <v>10143016</v>
      </c>
      <c r="D167">
        <v>14876184</v>
      </c>
      <c r="F167">
        <v>-4733168</v>
      </c>
      <c r="H167">
        <v>-0.3181708427376268</v>
      </c>
    </row>
    <row r="168" spans="1:9" hidden="1" x14ac:dyDescent="0.2">
      <c r="A168" t="s">
        <v>19</v>
      </c>
      <c r="B168" t="s">
        <v>34</v>
      </c>
      <c r="C168">
        <v>8672437</v>
      </c>
      <c r="D168">
        <v>13945468</v>
      </c>
      <c r="F168">
        <v>-5273031</v>
      </c>
      <c r="H168">
        <v>-0.37811789464505602</v>
      </c>
    </row>
    <row r="169" spans="1:9" hidden="1" x14ac:dyDescent="0.2">
      <c r="A169" t="s">
        <v>20</v>
      </c>
      <c r="B169" t="s">
        <v>34</v>
      </c>
      <c r="C169">
        <v>8808522</v>
      </c>
      <c r="D169">
        <v>13836202</v>
      </c>
      <c r="F169">
        <v>-5027680</v>
      </c>
      <c r="H169">
        <v>-0.36337139339249308</v>
      </c>
    </row>
    <row r="170" spans="1:9" hidden="1" x14ac:dyDescent="0.2">
      <c r="A170" t="s">
        <v>21</v>
      </c>
      <c r="B170" t="s">
        <v>34</v>
      </c>
      <c r="C170">
        <v>12293429</v>
      </c>
      <c r="D170">
        <v>14797598</v>
      </c>
      <c r="E170">
        <v>8719611</v>
      </c>
      <c r="F170">
        <v>-2504169</v>
      </c>
      <c r="G170">
        <v>3573818</v>
      </c>
      <c r="H170">
        <v>-0.1692280733670424</v>
      </c>
      <c r="I170">
        <v>0.40985979764464259</v>
      </c>
    </row>
    <row r="171" spans="1:9" hidden="1" x14ac:dyDescent="0.2">
      <c r="A171" t="s">
        <v>9</v>
      </c>
      <c r="B171" t="s">
        <v>35</v>
      </c>
      <c r="C171">
        <v>21491150</v>
      </c>
      <c r="D171">
        <v>20850111</v>
      </c>
      <c r="F171">
        <v>641039</v>
      </c>
      <c r="H171">
        <v>3.0745112100362439E-2</v>
      </c>
    </row>
    <row r="172" spans="1:9" hidden="1" x14ac:dyDescent="0.2">
      <c r="A172" t="s">
        <v>10</v>
      </c>
      <c r="B172" t="s">
        <v>35</v>
      </c>
      <c r="C172">
        <v>20560522</v>
      </c>
      <c r="D172">
        <v>20582831</v>
      </c>
      <c r="F172">
        <v>-22309</v>
      </c>
      <c r="H172">
        <v>-1.083864508239901E-3</v>
      </c>
    </row>
    <row r="173" spans="1:9" hidden="1" x14ac:dyDescent="0.2">
      <c r="A173" t="s">
        <v>11</v>
      </c>
      <c r="B173" t="s">
        <v>35</v>
      </c>
      <c r="C173">
        <v>16989165</v>
      </c>
      <c r="D173">
        <v>19422061</v>
      </c>
      <c r="F173">
        <v>-2432896</v>
      </c>
      <c r="H173">
        <v>-0.12526456383799839</v>
      </c>
    </row>
    <row r="174" spans="1:9" hidden="1" x14ac:dyDescent="0.2">
      <c r="A174" t="s">
        <v>12</v>
      </c>
      <c r="B174" t="s">
        <v>35</v>
      </c>
      <c r="C174">
        <v>17708793</v>
      </c>
      <c r="D174">
        <v>18679121</v>
      </c>
      <c r="F174">
        <v>-970328</v>
      </c>
      <c r="H174">
        <v>-5.1947198157771983E-2</v>
      </c>
    </row>
    <row r="175" spans="1:9" hidden="1" x14ac:dyDescent="0.2">
      <c r="A175" t="s">
        <v>13</v>
      </c>
      <c r="B175" t="s">
        <v>35</v>
      </c>
      <c r="C175">
        <v>20600038</v>
      </c>
      <c r="D175">
        <v>23327996</v>
      </c>
      <c r="F175">
        <v>-2727958</v>
      </c>
      <c r="H175">
        <v>-0.1169392347289497</v>
      </c>
    </row>
    <row r="176" spans="1:9" hidden="1" x14ac:dyDescent="0.2">
      <c r="A176" t="s">
        <v>14</v>
      </c>
      <c r="B176" t="s">
        <v>35</v>
      </c>
      <c r="C176">
        <v>19595025</v>
      </c>
      <c r="D176">
        <v>26121654</v>
      </c>
      <c r="F176">
        <v>-6526629</v>
      </c>
      <c r="H176">
        <v>-0.2498551202002752</v>
      </c>
    </row>
    <row r="177" spans="1:9" hidden="1" x14ac:dyDescent="0.2">
      <c r="A177" t="s">
        <v>15</v>
      </c>
      <c r="B177" t="s">
        <v>35</v>
      </c>
      <c r="C177">
        <v>21742723</v>
      </c>
      <c r="D177">
        <v>28122747</v>
      </c>
      <c r="F177">
        <v>-6380024</v>
      </c>
      <c r="H177">
        <v>-0.22686347105423241</v>
      </c>
    </row>
    <row r="178" spans="1:9" x14ac:dyDescent="0.2">
      <c r="A178" t="s">
        <v>16</v>
      </c>
      <c r="B178" t="s">
        <v>35</v>
      </c>
      <c r="C178">
        <v>24248621</v>
      </c>
      <c r="D178">
        <v>27551388</v>
      </c>
      <c r="F178">
        <v>-3302767</v>
      </c>
      <c r="H178">
        <v>-0.119876610209257</v>
      </c>
    </row>
    <row r="179" spans="1:9" hidden="1" x14ac:dyDescent="0.2">
      <c r="A179" t="s">
        <v>17</v>
      </c>
      <c r="B179" t="s">
        <v>35</v>
      </c>
      <c r="C179">
        <v>20683163</v>
      </c>
      <c r="D179">
        <v>31672661</v>
      </c>
      <c r="F179">
        <v>-10989498</v>
      </c>
      <c r="H179">
        <v>-0.34697109914446411</v>
      </c>
    </row>
    <row r="180" spans="1:9" hidden="1" x14ac:dyDescent="0.2">
      <c r="A180" t="s">
        <v>18</v>
      </c>
      <c r="B180" t="s">
        <v>35</v>
      </c>
      <c r="C180">
        <v>21123201</v>
      </c>
      <c r="D180">
        <v>32865156</v>
      </c>
      <c r="F180">
        <v>-11741955</v>
      </c>
      <c r="H180">
        <v>-0.357276715801988</v>
      </c>
    </row>
    <row r="181" spans="1:9" hidden="1" x14ac:dyDescent="0.2">
      <c r="A181" t="s">
        <v>19</v>
      </c>
      <c r="B181" t="s">
        <v>35</v>
      </c>
      <c r="C181">
        <v>29370317</v>
      </c>
      <c r="D181">
        <v>31463605</v>
      </c>
      <c r="F181">
        <v>-2093288</v>
      </c>
      <c r="H181">
        <v>-6.653045637968058E-2</v>
      </c>
    </row>
    <row r="182" spans="1:9" hidden="1" x14ac:dyDescent="0.2">
      <c r="A182" t="s">
        <v>20</v>
      </c>
      <c r="B182" t="s">
        <v>35</v>
      </c>
      <c r="C182">
        <v>21781309</v>
      </c>
      <c r="D182">
        <v>28920994</v>
      </c>
      <c r="F182">
        <v>-7139685</v>
      </c>
      <c r="H182">
        <v>-0.2468685896480598</v>
      </c>
    </row>
    <row r="183" spans="1:9" hidden="1" x14ac:dyDescent="0.2">
      <c r="A183" t="s">
        <v>21</v>
      </c>
      <c r="B183" t="s">
        <v>35</v>
      </c>
      <c r="C183">
        <v>21352858</v>
      </c>
      <c r="D183">
        <v>27278580</v>
      </c>
      <c r="E183">
        <v>21491150</v>
      </c>
      <c r="F183">
        <v>-5925722</v>
      </c>
      <c r="G183">
        <v>-138292</v>
      </c>
      <c r="H183">
        <v>-0.21722985580627729</v>
      </c>
      <c r="I183">
        <v>-6.4348348040937781E-3</v>
      </c>
    </row>
    <row r="184" spans="1:9" hidden="1" x14ac:dyDescent="0.2">
      <c r="A184" t="s">
        <v>9</v>
      </c>
      <c r="B184" t="s">
        <v>31</v>
      </c>
      <c r="C184">
        <v>2142201</v>
      </c>
      <c r="D184">
        <v>1091080</v>
      </c>
      <c r="F184">
        <v>1051121</v>
      </c>
      <c r="H184">
        <v>0.96337665432415587</v>
      </c>
    </row>
    <row r="185" spans="1:9" hidden="1" x14ac:dyDescent="0.2">
      <c r="A185" t="s">
        <v>10</v>
      </c>
      <c r="B185" t="s">
        <v>31</v>
      </c>
      <c r="C185">
        <v>2156567</v>
      </c>
      <c r="D185">
        <v>1148387</v>
      </c>
      <c r="F185">
        <v>1008180</v>
      </c>
      <c r="H185">
        <v>0.87790962454294585</v>
      </c>
    </row>
    <row r="186" spans="1:9" hidden="1" x14ac:dyDescent="0.2">
      <c r="A186" t="s">
        <v>11</v>
      </c>
      <c r="B186" t="s">
        <v>31</v>
      </c>
      <c r="C186">
        <v>1599144</v>
      </c>
      <c r="D186">
        <v>1056123</v>
      </c>
      <c r="F186">
        <v>543021</v>
      </c>
      <c r="H186">
        <v>0.51416454333444117</v>
      </c>
    </row>
    <row r="187" spans="1:9" hidden="1" x14ac:dyDescent="0.2">
      <c r="A187" t="s">
        <v>12</v>
      </c>
      <c r="B187" t="s">
        <v>31</v>
      </c>
      <c r="C187">
        <v>1529948</v>
      </c>
      <c r="D187">
        <v>1050479</v>
      </c>
      <c r="F187">
        <v>479469</v>
      </c>
      <c r="H187">
        <v>0.45642892432880622</v>
      </c>
    </row>
    <row r="188" spans="1:9" hidden="1" x14ac:dyDescent="0.2">
      <c r="A188" t="s">
        <v>13</v>
      </c>
      <c r="B188" t="s">
        <v>31</v>
      </c>
      <c r="C188">
        <v>1525334</v>
      </c>
      <c r="D188">
        <v>1404809</v>
      </c>
      <c r="F188">
        <v>120525</v>
      </c>
      <c r="H188">
        <v>8.5794581327426012E-2</v>
      </c>
    </row>
    <row r="189" spans="1:9" hidden="1" x14ac:dyDescent="0.2">
      <c r="A189" t="s">
        <v>14</v>
      </c>
      <c r="B189" t="s">
        <v>31</v>
      </c>
      <c r="C189">
        <v>1508399</v>
      </c>
      <c r="D189">
        <v>1354589</v>
      </c>
      <c r="F189">
        <v>153810</v>
      </c>
      <c r="H189">
        <v>0.1135473564306221</v>
      </c>
    </row>
    <row r="190" spans="1:9" hidden="1" x14ac:dyDescent="0.2">
      <c r="A190" t="s">
        <v>15</v>
      </c>
      <c r="B190" t="s">
        <v>31</v>
      </c>
      <c r="C190">
        <v>2071857</v>
      </c>
      <c r="D190">
        <v>1313795</v>
      </c>
      <c r="F190">
        <v>758062</v>
      </c>
      <c r="H190">
        <v>0.57700173923633447</v>
      </c>
    </row>
    <row r="191" spans="1:9" x14ac:dyDescent="0.2">
      <c r="A191" t="s">
        <v>16</v>
      </c>
      <c r="B191" t="s">
        <v>31</v>
      </c>
      <c r="C191">
        <v>2049712</v>
      </c>
      <c r="D191">
        <v>1349468</v>
      </c>
      <c r="F191">
        <v>700244</v>
      </c>
      <c r="H191">
        <v>0.51890374577240805</v>
      </c>
    </row>
    <row r="192" spans="1:9" hidden="1" x14ac:dyDescent="0.2">
      <c r="A192" t="s">
        <v>17</v>
      </c>
      <c r="B192" t="s">
        <v>31</v>
      </c>
      <c r="C192">
        <v>1542610</v>
      </c>
      <c r="D192">
        <v>1406704</v>
      </c>
      <c r="F192">
        <v>135906</v>
      </c>
      <c r="H192">
        <v>9.66130756719253E-2</v>
      </c>
    </row>
    <row r="193" spans="1:9" hidden="1" x14ac:dyDescent="0.2">
      <c r="A193" t="s">
        <v>18</v>
      </c>
      <c r="B193" t="s">
        <v>31</v>
      </c>
      <c r="C193">
        <v>1914598</v>
      </c>
      <c r="D193">
        <v>1431637</v>
      </c>
      <c r="F193">
        <v>482961</v>
      </c>
      <c r="H193">
        <v>0.33734878324603229</v>
      </c>
    </row>
    <row r="194" spans="1:9" hidden="1" x14ac:dyDescent="0.2">
      <c r="A194" t="s">
        <v>19</v>
      </c>
      <c r="B194" t="s">
        <v>31</v>
      </c>
      <c r="C194">
        <v>1991889</v>
      </c>
      <c r="D194">
        <v>1421430</v>
      </c>
      <c r="F194">
        <v>570459</v>
      </c>
      <c r="H194">
        <v>0.40132753635423479</v>
      </c>
    </row>
    <row r="195" spans="1:9" hidden="1" x14ac:dyDescent="0.2">
      <c r="A195" t="s">
        <v>20</v>
      </c>
      <c r="B195" t="s">
        <v>31</v>
      </c>
      <c r="C195">
        <v>1661953</v>
      </c>
      <c r="D195">
        <v>1335063</v>
      </c>
      <c r="F195">
        <v>326890</v>
      </c>
      <c r="H195">
        <v>0.24484986850807791</v>
      </c>
    </row>
    <row r="196" spans="1:9" hidden="1" x14ac:dyDescent="0.2">
      <c r="A196" t="s">
        <v>21</v>
      </c>
      <c r="B196" t="s">
        <v>31</v>
      </c>
      <c r="C196">
        <v>2003209</v>
      </c>
      <c r="D196">
        <v>1421892</v>
      </c>
      <c r="E196">
        <v>4563576</v>
      </c>
      <c r="F196">
        <v>581317</v>
      </c>
      <c r="G196">
        <v>-2560367</v>
      </c>
      <c r="H196">
        <v>0.40883344163973068</v>
      </c>
      <c r="I196">
        <v>-0.56104401460608966</v>
      </c>
    </row>
    <row r="197" spans="1:9" hidden="1" x14ac:dyDescent="0.2">
      <c r="A197" t="s">
        <v>9</v>
      </c>
      <c r="B197" t="s">
        <v>36</v>
      </c>
      <c r="C197">
        <v>774240</v>
      </c>
      <c r="D197">
        <v>570307</v>
      </c>
      <c r="F197">
        <v>203933</v>
      </c>
      <c r="H197">
        <v>0.3575845991720249</v>
      </c>
    </row>
    <row r="198" spans="1:9" hidden="1" x14ac:dyDescent="0.2">
      <c r="A198" t="s">
        <v>10</v>
      </c>
      <c r="B198" t="s">
        <v>36</v>
      </c>
      <c r="C198">
        <v>614114</v>
      </c>
      <c r="D198">
        <v>591237</v>
      </c>
      <c r="F198">
        <v>22877</v>
      </c>
      <c r="H198">
        <v>3.8693451187933103E-2</v>
      </c>
    </row>
    <row r="199" spans="1:9" hidden="1" x14ac:dyDescent="0.2">
      <c r="A199" t="s">
        <v>11</v>
      </c>
      <c r="B199" t="s">
        <v>36</v>
      </c>
      <c r="C199">
        <v>606033</v>
      </c>
      <c r="D199">
        <v>600117</v>
      </c>
      <c r="F199">
        <v>5916</v>
      </c>
      <c r="H199">
        <v>9.8580776748534039E-3</v>
      </c>
    </row>
    <row r="200" spans="1:9" hidden="1" x14ac:dyDescent="0.2">
      <c r="A200" t="s">
        <v>12</v>
      </c>
      <c r="B200" t="s">
        <v>36</v>
      </c>
      <c r="C200">
        <v>740041</v>
      </c>
      <c r="D200">
        <v>571249</v>
      </c>
      <c r="F200">
        <v>168792</v>
      </c>
      <c r="H200">
        <v>0.29547885422994169</v>
      </c>
    </row>
    <row r="201" spans="1:9" hidden="1" x14ac:dyDescent="0.2">
      <c r="A201" t="s">
        <v>13</v>
      </c>
      <c r="B201" t="s">
        <v>36</v>
      </c>
      <c r="C201">
        <v>712199</v>
      </c>
      <c r="D201">
        <v>737473</v>
      </c>
      <c r="F201">
        <v>-25274</v>
      </c>
      <c r="H201">
        <v>-3.4271085178711629E-2</v>
      </c>
    </row>
    <row r="202" spans="1:9" hidden="1" x14ac:dyDescent="0.2">
      <c r="A202" t="s">
        <v>14</v>
      </c>
      <c r="B202" t="s">
        <v>36</v>
      </c>
      <c r="C202">
        <v>544498</v>
      </c>
      <c r="D202">
        <v>748118</v>
      </c>
      <c r="F202">
        <v>-203620</v>
      </c>
      <c r="H202">
        <v>-0.27217631443168061</v>
      </c>
    </row>
    <row r="203" spans="1:9" hidden="1" x14ac:dyDescent="0.2">
      <c r="A203" t="s">
        <v>15</v>
      </c>
      <c r="B203" t="s">
        <v>36</v>
      </c>
      <c r="C203">
        <v>648608</v>
      </c>
      <c r="D203">
        <v>742645</v>
      </c>
      <c r="F203">
        <v>-94037</v>
      </c>
      <c r="H203">
        <v>-0.12662443024594519</v>
      </c>
    </row>
    <row r="204" spans="1:9" x14ac:dyDescent="0.2">
      <c r="A204" t="s">
        <v>16</v>
      </c>
      <c r="B204" t="s">
        <v>36</v>
      </c>
      <c r="C204">
        <v>600659</v>
      </c>
      <c r="D204">
        <v>747612</v>
      </c>
      <c r="F204">
        <v>-146953</v>
      </c>
      <c r="H204">
        <v>-0.1965631905319872</v>
      </c>
    </row>
    <row r="205" spans="1:9" hidden="1" x14ac:dyDescent="0.2">
      <c r="A205" t="s">
        <v>17</v>
      </c>
      <c r="B205" t="s">
        <v>36</v>
      </c>
      <c r="C205">
        <v>618563</v>
      </c>
      <c r="D205">
        <v>683989</v>
      </c>
      <c r="F205">
        <v>-65426</v>
      </c>
      <c r="H205">
        <v>-9.5653585072274561E-2</v>
      </c>
    </row>
    <row r="206" spans="1:9" hidden="1" x14ac:dyDescent="0.2">
      <c r="A206" t="s">
        <v>18</v>
      </c>
      <c r="B206" t="s">
        <v>36</v>
      </c>
      <c r="C206">
        <v>752202</v>
      </c>
      <c r="D206">
        <v>689774</v>
      </c>
      <c r="F206">
        <v>62428</v>
      </c>
      <c r="H206">
        <v>9.0505005987468357E-2</v>
      </c>
    </row>
    <row r="207" spans="1:9" hidden="1" x14ac:dyDescent="0.2">
      <c r="A207" t="s">
        <v>19</v>
      </c>
      <c r="B207" t="s">
        <v>36</v>
      </c>
      <c r="C207">
        <v>600469</v>
      </c>
      <c r="D207">
        <v>751534</v>
      </c>
      <c r="F207">
        <v>-151065</v>
      </c>
      <c r="H207">
        <v>-0.20100886985818339</v>
      </c>
    </row>
    <row r="208" spans="1:9" hidden="1" x14ac:dyDescent="0.2">
      <c r="A208" t="s">
        <v>20</v>
      </c>
      <c r="B208" t="s">
        <v>36</v>
      </c>
      <c r="C208">
        <v>763910</v>
      </c>
      <c r="D208">
        <v>724449</v>
      </c>
      <c r="F208">
        <v>39461</v>
      </c>
      <c r="H208">
        <v>5.4470362993116153E-2</v>
      </c>
    </row>
    <row r="209" spans="1:9" hidden="1" x14ac:dyDescent="0.2">
      <c r="A209" t="s">
        <v>21</v>
      </c>
      <c r="B209" t="s">
        <v>36</v>
      </c>
      <c r="C209">
        <v>681381</v>
      </c>
      <c r="D209">
        <v>715460</v>
      </c>
      <c r="E209">
        <v>774240</v>
      </c>
      <c r="F209">
        <v>-34079</v>
      </c>
      <c r="G209">
        <v>-92859</v>
      </c>
      <c r="H209">
        <v>-4.7632292511111729E-2</v>
      </c>
      <c r="I209">
        <v>-0.1199356788592684</v>
      </c>
    </row>
    <row r="210" spans="1:9" hidden="1" x14ac:dyDescent="0.2">
      <c r="A210" t="s">
        <v>9</v>
      </c>
      <c r="B210" t="s">
        <v>32</v>
      </c>
      <c r="C210">
        <v>354561</v>
      </c>
      <c r="D210">
        <v>740879</v>
      </c>
      <c r="F210">
        <v>-386318</v>
      </c>
      <c r="H210">
        <v>-0.52143197472191816</v>
      </c>
    </row>
    <row r="211" spans="1:9" hidden="1" x14ac:dyDescent="0.2">
      <c r="A211" t="s">
        <v>10</v>
      </c>
      <c r="B211" t="s">
        <v>32</v>
      </c>
      <c r="C211">
        <v>413207</v>
      </c>
      <c r="D211">
        <v>772818</v>
      </c>
      <c r="F211">
        <v>-359611</v>
      </c>
      <c r="H211">
        <v>-0.4653243066284688</v>
      </c>
    </row>
    <row r="212" spans="1:9" hidden="1" x14ac:dyDescent="0.2">
      <c r="A212" t="s">
        <v>11</v>
      </c>
      <c r="B212" t="s">
        <v>32</v>
      </c>
      <c r="C212">
        <v>431615</v>
      </c>
      <c r="D212">
        <v>775625</v>
      </c>
      <c r="F212">
        <v>-344010</v>
      </c>
      <c r="H212">
        <v>-0.44352618855761478</v>
      </c>
    </row>
    <row r="213" spans="1:9" hidden="1" x14ac:dyDescent="0.2">
      <c r="A213" t="s">
        <v>12</v>
      </c>
      <c r="B213" t="s">
        <v>32</v>
      </c>
      <c r="C213">
        <v>323328</v>
      </c>
      <c r="D213">
        <v>753373</v>
      </c>
      <c r="F213">
        <v>-430045</v>
      </c>
      <c r="H213">
        <v>-0.57082613791574688</v>
      </c>
    </row>
    <row r="214" spans="1:9" hidden="1" x14ac:dyDescent="0.2">
      <c r="A214" t="s">
        <v>13</v>
      </c>
      <c r="B214" t="s">
        <v>32</v>
      </c>
      <c r="C214">
        <v>318126</v>
      </c>
      <c r="D214">
        <v>946909</v>
      </c>
      <c r="F214">
        <v>-628783</v>
      </c>
      <c r="H214">
        <v>-0.66403741014184048</v>
      </c>
    </row>
    <row r="215" spans="1:9" hidden="1" x14ac:dyDescent="0.2">
      <c r="A215" t="s">
        <v>14</v>
      </c>
      <c r="B215" t="s">
        <v>32</v>
      </c>
      <c r="C215">
        <v>377493</v>
      </c>
      <c r="D215">
        <v>978774</v>
      </c>
      <c r="F215">
        <v>-601281</v>
      </c>
      <c r="H215">
        <v>-0.61432056838453009</v>
      </c>
    </row>
    <row r="216" spans="1:9" hidden="1" x14ac:dyDescent="0.2">
      <c r="A216" t="s">
        <v>15</v>
      </c>
      <c r="B216" t="s">
        <v>32</v>
      </c>
      <c r="C216">
        <v>363483</v>
      </c>
      <c r="D216">
        <v>906161</v>
      </c>
      <c r="F216">
        <v>-542678</v>
      </c>
      <c r="H216">
        <v>-0.59887591719352296</v>
      </c>
    </row>
    <row r="217" spans="1:9" x14ac:dyDescent="0.2">
      <c r="A217" t="s">
        <v>16</v>
      </c>
      <c r="B217" t="s">
        <v>32</v>
      </c>
      <c r="C217">
        <v>331335</v>
      </c>
      <c r="D217">
        <v>966883</v>
      </c>
      <c r="F217">
        <v>-635548</v>
      </c>
      <c r="H217">
        <v>-0.65731634541097528</v>
      </c>
    </row>
    <row r="218" spans="1:9" hidden="1" x14ac:dyDescent="0.2">
      <c r="A218" t="s">
        <v>17</v>
      </c>
      <c r="B218" t="s">
        <v>32</v>
      </c>
      <c r="C218">
        <v>404811</v>
      </c>
      <c r="D218">
        <v>904659</v>
      </c>
      <c r="F218">
        <v>-499848</v>
      </c>
      <c r="H218">
        <v>-0.55252642155773612</v>
      </c>
    </row>
    <row r="219" spans="1:9" hidden="1" x14ac:dyDescent="0.2">
      <c r="A219" t="s">
        <v>18</v>
      </c>
      <c r="B219" t="s">
        <v>32</v>
      </c>
      <c r="C219">
        <v>322231</v>
      </c>
      <c r="D219">
        <v>961179</v>
      </c>
      <c r="F219">
        <v>-638948</v>
      </c>
      <c r="H219">
        <v>-0.66475443179678295</v>
      </c>
    </row>
    <row r="220" spans="1:9" hidden="1" x14ac:dyDescent="0.2">
      <c r="A220" t="s">
        <v>19</v>
      </c>
      <c r="B220" t="s">
        <v>32</v>
      </c>
      <c r="C220">
        <v>320477</v>
      </c>
      <c r="D220">
        <v>972570</v>
      </c>
      <c r="F220">
        <v>-652093</v>
      </c>
      <c r="H220">
        <v>-0.67048438672794763</v>
      </c>
    </row>
    <row r="221" spans="1:9" hidden="1" x14ac:dyDescent="0.2">
      <c r="A221" t="s">
        <v>20</v>
      </c>
      <c r="B221" t="s">
        <v>32</v>
      </c>
      <c r="C221">
        <v>418421</v>
      </c>
      <c r="D221">
        <v>902795</v>
      </c>
      <c r="F221">
        <v>-484374</v>
      </c>
      <c r="H221">
        <v>-0.53652711855958435</v>
      </c>
    </row>
    <row r="222" spans="1:9" hidden="1" x14ac:dyDescent="0.2">
      <c r="A222" t="s">
        <v>21</v>
      </c>
      <c r="B222" t="s">
        <v>32</v>
      </c>
      <c r="C222">
        <v>322344</v>
      </c>
      <c r="D222">
        <v>988096</v>
      </c>
      <c r="E222">
        <v>6106484</v>
      </c>
      <c r="F222">
        <v>-665752</v>
      </c>
      <c r="G222">
        <v>-5784140</v>
      </c>
      <c r="H222">
        <v>-0.67377258889824465</v>
      </c>
      <c r="I222">
        <v>-0.94721283147552671</v>
      </c>
    </row>
    <row r="223" spans="1:9" hidden="1" x14ac:dyDescent="0.2">
      <c r="A223" t="s">
        <v>9</v>
      </c>
      <c r="B223" t="s">
        <v>37</v>
      </c>
      <c r="C223">
        <v>153246</v>
      </c>
      <c r="D223">
        <v>243583</v>
      </c>
      <c r="F223">
        <v>-90337</v>
      </c>
      <c r="H223">
        <v>-0.37086742506660969</v>
      </c>
    </row>
    <row r="224" spans="1:9" hidden="1" x14ac:dyDescent="0.2">
      <c r="A224" t="s">
        <v>10</v>
      </c>
      <c r="B224" t="s">
        <v>37</v>
      </c>
      <c r="C224">
        <v>181550</v>
      </c>
      <c r="D224">
        <v>257812</v>
      </c>
      <c r="F224">
        <v>-76262</v>
      </c>
      <c r="H224">
        <v>-0.29580469489395372</v>
      </c>
    </row>
    <row r="225" spans="1:9" hidden="1" x14ac:dyDescent="0.2">
      <c r="A225" t="s">
        <v>11</v>
      </c>
      <c r="B225" t="s">
        <v>37</v>
      </c>
      <c r="C225">
        <v>192730</v>
      </c>
      <c r="D225">
        <v>253028</v>
      </c>
      <c r="F225">
        <v>-60298</v>
      </c>
      <c r="H225">
        <v>-0.23830564206332899</v>
      </c>
    </row>
    <row r="226" spans="1:9" hidden="1" x14ac:dyDescent="0.2">
      <c r="A226" t="s">
        <v>12</v>
      </c>
      <c r="B226" t="s">
        <v>37</v>
      </c>
      <c r="C226">
        <v>153374</v>
      </c>
      <c r="D226">
        <v>236497</v>
      </c>
      <c r="F226">
        <v>-83123</v>
      </c>
      <c r="H226">
        <v>-0.35147591724207922</v>
      </c>
    </row>
    <row r="227" spans="1:9" hidden="1" x14ac:dyDescent="0.2">
      <c r="A227" t="s">
        <v>13</v>
      </c>
      <c r="B227" t="s">
        <v>37</v>
      </c>
      <c r="C227">
        <v>179249</v>
      </c>
      <c r="D227">
        <v>310270</v>
      </c>
      <c r="F227">
        <v>-131021</v>
      </c>
      <c r="H227">
        <v>-0.42228059432107518</v>
      </c>
    </row>
    <row r="228" spans="1:9" hidden="1" x14ac:dyDescent="0.2">
      <c r="A228" t="s">
        <v>14</v>
      </c>
      <c r="B228" t="s">
        <v>37</v>
      </c>
      <c r="C228">
        <v>156470</v>
      </c>
      <c r="D228">
        <v>321004</v>
      </c>
      <c r="F228">
        <v>-164534</v>
      </c>
      <c r="H228">
        <v>-0.51256059114528163</v>
      </c>
    </row>
    <row r="229" spans="1:9" hidden="1" x14ac:dyDescent="0.2">
      <c r="A229" t="s">
        <v>15</v>
      </c>
      <c r="B229" t="s">
        <v>37</v>
      </c>
      <c r="C229">
        <v>136266</v>
      </c>
      <c r="D229">
        <v>308241</v>
      </c>
      <c r="F229">
        <v>-171975</v>
      </c>
      <c r="H229">
        <v>-0.55792383232600462</v>
      </c>
    </row>
    <row r="230" spans="1:9" x14ac:dyDescent="0.2">
      <c r="A230" t="s">
        <v>16</v>
      </c>
      <c r="B230" t="s">
        <v>37</v>
      </c>
      <c r="C230">
        <v>129822</v>
      </c>
      <c r="D230">
        <v>307502</v>
      </c>
      <c r="F230">
        <v>-177680</v>
      </c>
      <c r="H230">
        <v>-0.57781738004956062</v>
      </c>
    </row>
    <row r="231" spans="1:9" hidden="1" x14ac:dyDescent="0.2">
      <c r="A231" t="s">
        <v>17</v>
      </c>
      <c r="B231" t="s">
        <v>37</v>
      </c>
      <c r="C231">
        <v>132723</v>
      </c>
      <c r="D231">
        <v>296710</v>
      </c>
      <c r="F231">
        <v>-163987</v>
      </c>
      <c r="H231">
        <v>-0.55268443935155542</v>
      </c>
    </row>
    <row r="232" spans="1:9" hidden="1" x14ac:dyDescent="0.2">
      <c r="A232" t="s">
        <v>18</v>
      </c>
      <c r="B232" t="s">
        <v>37</v>
      </c>
      <c r="C232">
        <v>136674</v>
      </c>
      <c r="D232">
        <v>313071</v>
      </c>
      <c r="F232">
        <v>-176397</v>
      </c>
      <c r="H232">
        <v>-0.56344088082256105</v>
      </c>
    </row>
    <row r="233" spans="1:9" hidden="1" x14ac:dyDescent="0.2">
      <c r="A233" t="s">
        <v>19</v>
      </c>
      <c r="B233" t="s">
        <v>37</v>
      </c>
      <c r="C233">
        <v>177242</v>
      </c>
      <c r="D233">
        <v>311040</v>
      </c>
      <c r="F233">
        <v>-133798</v>
      </c>
      <c r="H233">
        <v>-0.4301633230452675</v>
      </c>
    </row>
    <row r="234" spans="1:9" hidden="1" x14ac:dyDescent="0.2">
      <c r="A234" t="s">
        <v>20</v>
      </c>
      <c r="B234" t="s">
        <v>37</v>
      </c>
      <c r="C234">
        <v>191192</v>
      </c>
      <c r="D234">
        <v>304609</v>
      </c>
      <c r="F234">
        <v>-113417</v>
      </c>
      <c r="H234">
        <v>-0.37233633937276972</v>
      </c>
    </row>
    <row r="235" spans="1:9" hidden="1" x14ac:dyDescent="0.2">
      <c r="A235" t="s">
        <v>21</v>
      </c>
      <c r="B235" t="s">
        <v>37</v>
      </c>
      <c r="C235">
        <v>147530</v>
      </c>
      <c r="D235">
        <v>319839</v>
      </c>
      <c r="E235">
        <v>153246</v>
      </c>
      <c r="F235">
        <v>-172309</v>
      </c>
      <c r="G235">
        <v>-5716</v>
      </c>
      <c r="H235">
        <v>-0.5387366768905606</v>
      </c>
      <c r="I235">
        <v>-3.7299505370450133E-2</v>
      </c>
    </row>
    <row r="236" spans="1:9" hidden="1" x14ac:dyDescent="0.2">
      <c r="A236" t="s">
        <v>9</v>
      </c>
      <c r="B236" t="s">
        <v>38</v>
      </c>
      <c r="C236">
        <v>18398</v>
      </c>
      <c r="D236">
        <v>39378</v>
      </c>
      <c r="F236">
        <v>-20980</v>
      </c>
      <c r="H236">
        <v>-0.53278480369749603</v>
      </c>
    </row>
    <row r="237" spans="1:9" hidden="1" x14ac:dyDescent="0.2">
      <c r="A237" t="s">
        <v>10</v>
      </c>
      <c r="B237" t="s">
        <v>38</v>
      </c>
      <c r="C237">
        <v>16649</v>
      </c>
      <c r="D237">
        <v>39403</v>
      </c>
      <c r="F237">
        <v>-22754</v>
      </c>
      <c r="H237">
        <v>-0.57746872065578758</v>
      </c>
    </row>
    <row r="238" spans="1:9" hidden="1" x14ac:dyDescent="0.2">
      <c r="A238" t="s">
        <v>11</v>
      </c>
      <c r="B238" t="s">
        <v>38</v>
      </c>
      <c r="C238">
        <v>16905</v>
      </c>
      <c r="D238">
        <v>39107</v>
      </c>
      <c r="F238">
        <v>-22202</v>
      </c>
      <c r="H238">
        <v>-0.56772444830848701</v>
      </c>
    </row>
    <row r="239" spans="1:9" hidden="1" x14ac:dyDescent="0.2">
      <c r="A239" t="s">
        <v>12</v>
      </c>
      <c r="B239" t="s">
        <v>38</v>
      </c>
      <c r="C239">
        <v>20915</v>
      </c>
      <c r="D239">
        <v>39490</v>
      </c>
      <c r="F239">
        <v>-18575</v>
      </c>
      <c r="H239">
        <v>-0.47037224613826278</v>
      </c>
    </row>
    <row r="240" spans="1:9" hidden="1" x14ac:dyDescent="0.2">
      <c r="A240" t="s">
        <v>13</v>
      </c>
      <c r="B240" t="s">
        <v>38</v>
      </c>
      <c r="C240">
        <v>17159</v>
      </c>
      <c r="D240">
        <v>47297</v>
      </c>
      <c r="F240">
        <v>-30138</v>
      </c>
      <c r="H240">
        <v>-0.63720743387529866</v>
      </c>
    </row>
    <row r="241" spans="1:9" hidden="1" x14ac:dyDescent="0.2">
      <c r="A241" t="s">
        <v>14</v>
      </c>
      <c r="B241" t="s">
        <v>38</v>
      </c>
      <c r="C241">
        <v>24568</v>
      </c>
      <c r="D241">
        <v>47152</v>
      </c>
      <c r="F241">
        <v>-22584</v>
      </c>
      <c r="H241">
        <v>-0.47896165592127588</v>
      </c>
    </row>
    <row r="242" spans="1:9" hidden="1" x14ac:dyDescent="0.2">
      <c r="A242" t="s">
        <v>15</v>
      </c>
      <c r="B242" t="s">
        <v>38</v>
      </c>
      <c r="C242">
        <v>21756</v>
      </c>
      <c r="D242">
        <v>47965</v>
      </c>
      <c r="F242">
        <v>-26209</v>
      </c>
      <c r="H242">
        <v>-0.54641926404670071</v>
      </c>
    </row>
    <row r="243" spans="1:9" x14ac:dyDescent="0.2">
      <c r="A243" t="s">
        <v>16</v>
      </c>
      <c r="B243" t="s">
        <v>38</v>
      </c>
      <c r="C243">
        <v>20309</v>
      </c>
      <c r="D243">
        <v>47644</v>
      </c>
      <c r="F243">
        <v>-27335</v>
      </c>
      <c r="H243">
        <v>-0.57373436319368654</v>
      </c>
    </row>
    <row r="244" spans="1:9" hidden="1" x14ac:dyDescent="0.2">
      <c r="A244" t="s">
        <v>17</v>
      </c>
      <c r="B244" t="s">
        <v>38</v>
      </c>
      <c r="C244">
        <v>21383</v>
      </c>
      <c r="D244">
        <v>48931</v>
      </c>
      <c r="F244">
        <v>-27548</v>
      </c>
      <c r="H244">
        <v>-0.56299687314790214</v>
      </c>
    </row>
    <row r="245" spans="1:9" hidden="1" x14ac:dyDescent="0.2">
      <c r="A245" t="s">
        <v>18</v>
      </c>
      <c r="B245" t="s">
        <v>38</v>
      </c>
      <c r="C245">
        <v>16924</v>
      </c>
      <c r="D245">
        <v>46013</v>
      </c>
      <c r="F245">
        <v>-29089</v>
      </c>
      <c r="H245">
        <v>-0.63219090257101251</v>
      </c>
    </row>
    <row r="246" spans="1:9" hidden="1" x14ac:dyDescent="0.2">
      <c r="A246" t="s">
        <v>19</v>
      </c>
      <c r="B246" t="s">
        <v>38</v>
      </c>
      <c r="C246">
        <v>24412</v>
      </c>
      <c r="D246">
        <v>48880</v>
      </c>
      <c r="F246">
        <v>-24468</v>
      </c>
      <c r="H246">
        <v>-0.5005728314238953</v>
      </c>
    </row>
    <row r="247" spans="1:9" hidden="1" x14ac:dyDescent="0.2">
      <c r="A247" t="s">
        <v>20</v>
      </c>
      <c r="B247" t="s">
        <v>38</v>
      </c>
      <c r="C247">
        <v>20318</v>
      </c>
      <c r="D247">
        <v>47609</v>
      </c>
      <c r="F247">
        <v>-27291</v>
      </c>
      <c r="H247">
        <v>-0.57323195194185972</v>
      </c>
    </row>
    <row r="248" spans="1:9" hidden="1" x14ac:dyDescent="0.2">
      <c r="A248" t="s">
        <v>21</v>
      </c>
      <c r="B248" t="s">
        <v>38</v>
      </c>
      <c r="C248">
        <v>18843</v>
      </c>
      <c r="D248">
        <v>45577</v>
      </c>
      <c r="E248">
        <v>18398</v>
      </c>
      <c r="F248">
        <v>-26734</v>
      </c>
      <c r="G248">
        <v>445</v>
      </c>
      <c r="H248">
        <v>-0.58656778638348295</v>
      </c>
      <c r="I248">
        <v>2.418741167518209E-2</v>
      </c>
    </row>
    <row r="249" spans="1:9" hidden="1" x14ac:dyDescent="0.2">
      <c r="A249" t="s">
        <v>9</v>
      </c>
      <c r="B249" t="s">
        <v>30</v>
      </c>
      <c r="C249">
        <v>128894</v>
      </c>
      <c r="D249">
        <v>230844</v>
      </c>
      <c r="F249">
        <v>-101950</v>
      </c>
      <c r="H249">
        <v>-0.44164024189495937</v>
      </c>
    </row>
    <row r="250" spans="1:9" hidden="1" x14ac:dyDescent="0.2">
      <c r="A250" t="s">
        <v>10</v>
      </c>
      <c r="B250" t="s">
        <v>30</v>
      </c>
      <c r="C250">
        <v>135170</v>
      </c>
      <c r="D250">
        <v>224387</v>
      </c>
      <c r="F250">
        <v>-89217</v>
      </c>
      <c r="H250">
        <v>-0.39760324795999769</v>
      </c>
    </row>
    <row r="251" spans="1:9" hidden="1" x14ac:dyDescent="0.2">
      <c r="A251" t="s">
        <v>11</v>
      </c>
      <c r="B251" t="s">
        <v>30</v>
      </c>
      <c r="C251">
        <v>155613</v>
      </c>
      <c r="D251">
        <v>245671</v>
      </c>
      <c r="F251">
        <v>-90058</v>
      </c>
      <c r="H251">
        <v>-0.36657969398097462</v>
      </c>
    </row>
    <row r="252" spans="1:9" hidden="1" x14ac:dyDescent="0.2">
      <c r="A252" t="s">
        <v>12</v>
      </c>
      <c r="B252" t="s">
        <v>30</v>
      </c>
      <c r="C252">
        <v>141161</v>
      </c>
      <c r="D252">
        <v>235126</v>
      </c>
      <c r="F252">
        <v>-93965</v>
      </c>
      <c r="H252">
        <v>-0.39963679048680278</v>
      </c>
    </row>
    <row r="253" spans="1:9" hidden="1" x14ac:dyDescent="0.2">
      <c r="A253" t="s">
        <v>13</v>
      </c>
      <c r="B253" t="s">
        <v>30</v>
      </c>
      <c r="C253">
        <v>120829</v>
      </c>
      <c r="D253">
        <v>302039</v>
      </c>
      <c r="F253">
        <v>-181210</v>
      </c>
      <c r="H253">
        <v>-0.5999556348683448</v>
      </c>
    </row>
    <row r="254" spans="1:9" hidden="1" x14ac:dyDescent="0.2">
      <c r="A254" t="s">
        <v>14</v>
      </c>
      <c r="B254" t="s">
        <v>30</v>
      </c>
      <c r="C254">
        <v>140458</v>
      </c>
      <c r="D254">
        <v>282970</v>
      </c>
      <c r="F254">
        <v>-142512</v>
      </c>
      <c r="H254">
        <v>-0.50362936000282721</v>
      </c>
    </row>
    <row r="255" spans="1:9" hidden="1" x14ac:dyDescent="0.2">
      <c r="A255" t="s">
        <v>15</v>
      </c>
      <c r="B255" t="s">
        <v>30</v>
      </c>
      <c r="C255">
        <v>152292</v>
      </c>
      <c r="D255">
        <v>302296</v>
      </c>
      <c r="F255">
        <v>-150004</v>
      </c>
      <c r="H255">
        <v>-0.4962156297139228</v>
      </c>
    </row>
    <row r="256" spans="1:9" x14ac:dyDescent="0.2">
      <c r="A256" t="s">
        <v>16</v>
      </c>
      <c r="B256" t="s">
        <v>30</v>
      </c>
      <c r="C256">
        <v>154326</v>
      </c>
      <c r="D256">
        <v>299460</v>
      </c>
      <c r="F256">
        <v>-145134</v>
      </c>
      <c r="H256">
        <v>-0.48465237427369262</v>
      </c>
    </row>
    <row r="257" spans="1:9" hidden="1" x14ac:dyDescent="0.2">
      <c r="A257" t="s">
        <v>17</v>
      </c>
      <c r="B257" t="s">
        <v>30</v>
      </c>
      <c r="C257">
        <v>136727</v>
      </c>
      <c r="D257">
        <v>290456</v>
      </c>
      <c r="F257">
        <v>-153729</v>
      </c>
      <c r="H257">
        <v>-0.52926777205497566</v>
      </c>
    </row>
    <row r="258" spans="1:9" hidden="1" x14ac:dyDescent="0.2">
      <c r="A258" t="s">
        <v>18</v>
      </c>
      <c r="B258" t="s">
        <v>30</v>
      </c>
      <c r="C258">
        <v>153433</v>
      </c>
      <c r="D258">
        <v>303570</v>
      </c>
      <c r="F258">
        <v>-150137</v>
      </c>
      <c r="H258">
        <v>-0.49457126857067563</v>
      </c>
    </row>
    <row r="259" spans="1:9" hidden="1" x14ac:dyDescent="0.2">
      <c r="A259" t="s">
        <v>19</v>
      </c>
      <c r="B259" t="s">
        <v>30</v>
      </c>
      <c r="C259">
        <v>107001</v>
      </c>
      <c r="D259">
        <v>278980</v>
      </c>
      <c r="F259">
        <v>-171979</v>
      </c>
      <c r="H259">
        <v>-0.61645637680120435</v>
      </c>
    </row>
    <row r="260" spans="1:9" hidden="1" x14ac:dyDescent="0.2">
      <c r="A260" t="s">
        <v>20</v>
      </c>
      <c r="B260" t="s">
        <v>30</v>
      </c>
      <c r="C260">
        <v>124331</v>
      </c>
      <c r="D260">
        <v>301945</v>
      </c>
      <c r="F260">
        <v>-177614</v>
      </c>
      <c r="H260">
        <v>-0.58823295633310702</v>
      </c>
    </row>
    <row r="261" spans="1:9" hidden="1" x14ac:dyDescent="0.2">
      <c r="A261" t="s">
        <v>21</v>
      </c>
      <c r="B261" t="s">
        <v>30</v>
      </c>
      <c r="C261">
        <v>156287</v>
      </c>
      <c r="D261">
        <v>282612</v>
      </c>
      <c r="E261">
        <v>1041361</v>
      </c>
      <c r="F261">
        <v>-126325</v>
      </c>
      <c r="G261">
        <v>-885074</v>
      </c>
      <c r="H261">
        <v>-0.44699092749069402</v>
      </c>
      <c r="I261">
        <v>-0.84992044065410555</v>
      </c>
    </row>
    <row r="262" spans="1:9" hidden="1" x14ac:dyDescent="0.2">
      <c r="A262" t="s">
        <v>9</v>
      </c>
      <c r="B262" t="s">
        <v>28</v>
      </c>
      <c r="C262">
        <v>3374753</v>
      </c>
      <c r="D262">
        <v>3821970</v>
      </c>
      <c r="F262">
        <v>-447217</v>
      </c>
      <c r="H262">
        <v>-0.11701216911697369</v>
      </c>
    </row>
    <row r="263" spans="1:9" hidden="1" x14ac:dyDescent="0.2">
      <c r="A263" t="s">
        <v>10</v>
      </c>
      <c r="B263" t="s">
        <v>28</v>
      </c>
      <c r="C263">
        <v>3863617</v>
      </c>
      <c r="D263">
        <v>4000375</v>
      </c>
      <c r="F263">
        <v>-136758</v>
      </c>
      <c r="H263">
        <v>-3.4186295034840483E-2</v>
      </c>
    </row>
    <row r="264" spans="1:9" hidden="1" x14ac:dyDescent="0.2">
      <c r="A264" t="s">
        <v>11</v>
      </c>
      <c r="B264" t="s">
        <v>28</v>
      </c>
      <c r="C264">
        <v>3692434</v>
      </c>
      <c r="D264">
        <v>3855932</v>
      </c>
      <c r="F264">
        <v>-163498</v>
      </c>
      <c r="H264">
        <v>-4.2401681357451322E-2</v>
      </c>
    </row>
    <row r="265" spans="1:9" hidden="1" x14ac:dyDescent="0.2">
      <c r="A265" t="s">
        <v>12</v>
      </c>
      <c r="B265" t="s">
        <v>28</v>
      </c>
      <c r="C265">
        <v>3141483</v>
      </c>
      <c r="D265">
        <v>3780395</v>
      </c>
      <c r="F265">
        <v>-638912</v>
      </c>
      <c r="H265">
        <v>-0.16900667787360851</v>
      </c>
    </row>
    <row r="266" spans="1:9" hidden="1" x14ac:dyDescent="0.2">
      <c r="A266" t="s">
        <v>13</v>
      </c>
      <c r="B266" t="s">
        <v>28</v>
      </c>
      <c r="C266">
        <v>2675177</v>
      </c>
      <c r="D266">
        <v>5011398</v>
      </c>
      <c r="F266">
        <v>-2336221</v>
      </c>
      <c r="H266">
        <v>-0.46618149266931103</v>
      </c>
    </row>
    <row r="267" spans="1:9" hidden="1" x14ac:dyDescent="0.2">
      <c r="A267" t="s">
        <v>14</v>
      </c>
      <c r="B267" t="s">
        <v>28</v>
      </c>
      <c r="C267">
        <v>3659355</v>
      </c>
      <c r="D267">
        <v>5076669</v>
      </c>
      <c r="F267">
        <v>-1417314</v>
      </c>
      <c r="H267">
        <v>-0.27918188087503831</v>
      </c>
    </row>
    <row r="268" spans="1:9" hidden="1" x14ac:dyDescent="0.2">
      <c r="A268" t="s">
        <v>15</v>
      </c>
      <c r="B268" t="s">
        <v>28</v>
      </c>
      <c r="C268">
        <v>3898380</v>
      </c>
      <c r="D268">
        <v>4861854</v>
      </c>
      <c r="F268">
        <v>-963474</v>
      </c>
      <c r="H268">
        <v>-0.19817008079633819</v>
      </c>
    </row>
    <row r="269" spans="1:9" x14ac:dyDescent="0.2">
      <c r="A269" t="s">
        <v>16</v>
      </c>
      <c r="B269" t="s">
        <v>28</v>
      </c>
      <c r="C269">
        <v>3602227</v>
      </c>
      <c r="D269">
        <v>5050099</v>
      </c>
      <c r="F269">
        <v>-1447872</v>
      </c>
      <c r="H269">
        <v>-0.28670170624377861</v>
      </c>
    </row>
    <row r="270" spans="1:9" hidden="1" x14ac:dyDescent="0.2">
      <c r="A270" t="s">
        <v>17</v>
      </c>
      <c r="B270" t="s">
        <v>28</v>
      </c>
      <c r="C270">
        <v>3707159</v>
      </c>
      <c r="D270">
        <v>4712894</v>
      </c>
      <c r="F270">
        <v>-1005735</v>
      </c>
      <c r="H270">
        <v>-0.21340072575364519</v>
      </c>
    </row>
    <row r="271" spans="1:9" hidden="1" x14ac:dyDescent="0.2">
      <c r="A271" t="s">
        <v>18</v>
      </c>
      <c r="B271" t="s">
        <v>28</v>
      </c>
      <c r="C271">
        <v>3187958</v>
      </c>
      <c r="D271">
        <v>4655749</v>
      </c>
      <c r="F271">
        <v>-1467791</v>
      </c>
      <c r="H271">
        <v>-0.3152642034611402</v>
      </c>
    </row>
    <row r="272" spans="1:9" hidden="1" x14ac:dyDescent="0.2">
      <c r="A272" t="s">
        <v>19</v>
      </c>
      <c r="B272" t="s">
        <v>28</v>
      </c>
      <c r="C272">
        <v>3842980</v>
      </c>
      <c r="D272">
        <v>4886388</v>
      </c>
      <c r="F272">
        <v>-1043408</v>
      </c>
      <c r="H272">
        <v>-0.21353359577667591</v>
      </c>
    </row>
    <row r="273" spans="1:9" hidden="1" x14ac:dyDescent="0.2">
      <c r="A273" t="s">
        <v>20</v>
      </c>
      <c r="B273" t="s">
        <v>28</v>
      </c>
      <c r="C273">
        <v>2899283</v>
      </c>
      <c r="D273">
        <v>4918071</v>
      </c>
      <c r="F273">
        <v>-2018788</v>
      </c>
      <c r="H273">
        <v>-0.4104837038749542</v>
      </c>
    </row>
    <row r="274" spans="1:9" hidden="1" x14ac:dyDescent="0.2">
      <c r="A274" t="s">
        <v>21</v>
      </c>
      <c r="B274" t="s">
        <v>28</v>
      </c>
      <c r="C274">
        <v>3405971</v>
      </c>
      <c r="D274">
        <v>4766473</v>
      </c>
      <c r="E274">
        <v>17438801</v>
      </c>
      <c r="F274">
        <v>-1360502</v>
      </c>
      <c r="G274">
        <v>-14032830</v>
      </c>
      <c r="H274">
        <v>-0.28543159690614001</v>
      </c>
      <c r="I274">
        <v>-0.80469007014874472</v>
      </c>
    </row>
    <row r="275" spans="1:9" hidden="1" x14ac:dyDescent="0.2">
      <c r="A275" t="s">
        <v>9</v>
      </c>
      <c r="B275" t="s">
        <v>39</v>
      </c>
      <c r="C275">
        <v>817110</v>
      </c>
      <c r="D275">
        <v>792670</v>
      </c>
      <c r="F275">
        <v>24440</v>
      </c>
      <c r="H275">
        <v>3.0832502806968851E-2</v>
      </c>
    </row>
    <row r="276" spans="1:9" hidden="1" x14ac:dyDescent="0.2">
      <c r="A276" t="s">
        <v>10</v>
      </c>
      <c r="B276" t="s">
        <v>39</v>
      </c>
      <c r="C276">
        <v>974361</v>
      </c>
      <c r="D276">
        <v>800521</v>
      </c>
      <c r="F276">
        <v>173840</v>
      </c>
      <c r="H276">
        <v>0.21715857547772011</v>
      </c>
    </row>
    <row r="277" spans="1:9" hidden="1" x14ac:dyDescent="0.2">
      <c r="A277" t="s">
        <v>11</v>
      </c>
      <c r="B277" t="s">
        <v>39</v>
      </c>
      <c r="C277">
        <v>974305</v>
      </c>
      <c r="D277">
        <v>806744</v>
      </c>
      <c r="F277">
        <v>167561</v>
      </c>
      <c r="H277">
        <v>0.2077003361661196</v>
      </c>
    </row>
    <row r="278" spans="1:9" hidden="1" x14ac:dyDescent="0.2">
      <c r="A278" t="s">
        <v>12</v>
      </c>
      <c r="B278" t="s">
        <v>39</v>
      </c>
      <c r="C278">
        <v>986577</v>
      </c>
      <c r="D278">
        <v>784048</v>
      </c>
      <c r="F278">
        <v>202529</v>
      </c>
      <c r="H278">
        <v>0.25831199110258563</v>
      </c>
    </row>
    <row r="279" spans="1:9" hidden="1" x14ac:dyDescent="0.2">
      <c r="A279" t="s">
        <v>13</v>
      </c>
      <c r="B279" t="s">
        <v>39</v>
      </c>
      <c r="C279">
        <v>1112126</v>
      </c>
      <c r="D279">
        <v>964722</v>
      </c>
      <c r="F279">
        <v>147404</v>
      </c>
      <c r="H279">
        <v>0.15279427648586849</v>
      </c>
    </row>
    <row r="280" spans="1:9" hidden="1" x14ac:dyDescent="0.2">
      <c r="A280" t="s">
        <v>14</v>
      </c>
      <c r="B280" t="s">
        <v>39</v>
      </c>
      <c r="C280">
        <v>825019</v>
      </c>
      <c r="D280">
        <v>928221</v>
      </c>
      <c r="F280">
        <v>-103202</v>
      </c>
      <c r="H280">
        <v>-0.11118257397753339</v>
      </c>
    </row>
    <row r="281" spans="1:9" hidden="1" x14ac:dyDescent="0.2">
      <c r="A281" t="s">
        <v>15</v>
      </c>
      <c r="B281" t="s">
        <v>39</v>
      </c>
      <c r="C281">
        <v>1065147</v>
      </c>
      <c r="D281">
        <v>985843</v>
      </c>
      <c r="F281">
        <v>79304</v>
      </c>
      <c r="H281">
        <v>8.044282913202204E-2</v>
      </c>
    </row>
    <row r="282" spans="1:9" x14ac:dyDescent="0.2">
      <c r="A282" t="s">
        <v>16</v>
      </c>
      <c r="B282" t="s">
        <v>39</v>
      </c>
      <c r="C282">
        <v>1045408</v>
      </c>
      <c r="D282">
        <v>946163</v>
      </c>
      <c r="F282">
        <v>99245</v>
      </c>
      <c r="H282">
        <v>0.1048920746213919</v>
      </c>
    </row>
    <row r="283" spans="1:9" hidden="1" x14ac:dyDescent="0.2">
      <c r="A283" t="s">
        <v>17</v>
      </c>
      <c r="B283" t="s">
        <v>39</v>
      </c>
      <c r="C283">
        <v>825930</v>
      </c>
      <c r="D283">
        <v>926834</v>
      </c>
      <c r="F283">
        <v>-100904</v>
      </c>
      <c r="H283">
        <v>-0.108869549455458</v>
      </c>
    </row>
    <row r="284" spans="1:9" hidden="1" x14ac:dyDescent="0.2">
      <c r="A284" t="s">
        <v>18</v>
      </c>
      <c r="B284" t="s">
        <v>39</v>
      </c>
      <c r="C284">
        <v>908747</v>
      </c>
      <c r="D284">
        <v>982883</v>
      </c>
      <c r="F284">
        <v>-74136</v>
      </c>
      <c r="H284">
        <v>-7.5427085421153894E-2</v>
      </c>
    </row>
    <row r="285" spans="1:9" hidden="1" x14ac:dyDescent="0.2">
      <c r="A285" t="s">
        <v>19</v>
      </c>
      <c r="B285" t="s">
        <v>39</v>
      </c>
      <c r="C285">
        <v>924851</v>
      </c>
      <c r="D285">
        <v>968033</v>
      </c>
      <c r="F285">
        <v>-43182</v>
      </c>
      <c r="H285">
        <v>-4.4607983405524403E-2</v>
      </c>
    </row>
    <row r="286" spans="1:9" hidden="1" x14ac:dyDescent="0.2">
      <c r="A286" t="s">
        <v>20</v>
      </c>
      <c r="B286" t="s">
        <v>39</v>
      </c>
      <c r="C286">
        <v>1122759</v>
      </c>
      <c r="D286">
        <v>959342</v>
      </c>
      <c r="F286">
        <v>163417</v>
      </c>
      <c r="H286">
        <v>0.17034279745909181</v>
      </c>
    </row>
    <row r="287" spans="1:9" hidden="1" x14ac:dyDescent="0.2">
      <c r="A287" t="s">
        <v>21</v>
      </c>
      <c r="B287" t="s">
        <v>39</v>
      </c>
      <c r="C287">
        <v>971918</v>
      </c>
      <c r="D287">
        <v>1001755</v>
      </c>
      <c r="E287">
        <v>817110</v>
      </c>
      <c r="F287">
        <v>-29837</v>
      </c>
      <c r="G287">
        <v>154808</v>
      </c>
      <c r="H287">
        <v>-2.9784727802706249E-2</v>
      </c>
      <c r="I287">
        <v>0.18945796771548509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"/>
  <sheetViews>
    <sheetView workbookViewId="0">
      <selection activeCell="N22" sqref="K22:N22"/>
    </sheetView>
  </sheetViews>
  <sheetFormatPr baseColWidth="10" defaultColWidth="8.83203125" defaultRowHeight="15" x14ac:dyDescent="0.2"/>
  <cols>
    <col min="1" max="1" width="31.33203125" customWidth="1"/>
    <col min="11" max="11" width="17" customWidth="1"/>
    <col min="12" max="12" width="12.1640625" bestFit="1" customWidth="1"/>
    <col min="13" max="13" width="14" bestFit="1" customWidth="1"/>
    <col min="14" max="14" width="12.83203125" bestFit="1" customWidth="1"/>
    <col min="16" max="16" width="14.6640625" bestFit="1" customWidth="1"/>
  </cols>
  <sheetData>
    <row r="1" spans="1:12" x14ac:dyDescent="0.2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12" x14ac:dyDescent="0.2">
      <c r="A3" t="s">
        <v>22</v>
      </c>
      <c r="B3">
        <v>91423903</v>
      </c>
      <c r="C3">
        <v>98999321</v>
      </c>
      <c r="D3">
        <v>88393241</v>
      </c>
      <c r="E3">
        <v>-7575418</v>
      </c>
      <c r="F3">
        <v>3030662</v>
      </c>
      <c r="G3">
        <v>-7.6499999999999999E-2</v>
      </c>
      <c r="H3">
        <v>3.4299999999999997E-2</v>
      </c>
      <c r="K3">
        <f>B3*55%</f>
        <v>50283146.650000006</v>
      </c>
      <c r="L3">
        <f>K3/B3</f>
        <v>0.55000000000000004</v>
      </c>
    </row>
    <row r="4" spans="1:12" x14ac:dyDescent="0.2">
      <c r="A4" t="s">
        <v>23</v>
      </c>
      <c r="B4">
        <v>76595275</v>
      </c>
      <c r="C4">
        <v>81310219</v>
      </c>
      <c r="D4">
        <v>75853136</v>
      </c>
      <c r="E4">
        <v>-4714944</v>
      </c>
      <c r="F4">
        <v>742139</v>
      </c>
      <c r="G4">
        <v>-5.8000000000000003E-2</v>
      </c>
      <c r="H4">
        <v>9.7999999999999997E-3</v>
      </c>
      <c r="K4">
        <f t="shared" ref="K4:K6" si="0">B4*55%</f>
        <v>42127401.25</v>
      </c>
    </row>
    <row r="5" spans="1:12" x14ac:dyDescent="0.2">
      <c r="A5" t="s">
        <v>24</v>
      </c>
      <c r="B5">
        <v>14828628</v>
      </c>
      <c r="C5">
        <v>17689102</v>
      </c>
      <c r="D5">
        <v>12540105</v>
      </c>
      <c r="K5">
        <f t="shared" si="0"/>
        <v>8155745.4000000004</v>
      </c>
    </row>
    <row r="6" spans="1:12" x14ac:dyDescent="0.2">
      <c r="A6" t="s">
        <v>25</v>
      </c>
      <c r="B6">
        <v>6565440</v>
      </c>
      <c r="C6">
        <v>7598809</v>
      </c>
      <c r="D6">
        <v>6526681</v>
      </c>
      <c r="E6">
        <v>-1033369</v>
      </c>
      <c r="F6">
        <v>38759</v>
      </c>
      <c r="G6">
        <v>-0.13600000000000001</v>
      </c>
      <c r="H6">
        <v>5.8999999999999999E-3</v>
      </c>
      <c r="K6">
        <f t="shared" si="0"/>
        <v>3610992.0000000005</v>
      </c>
    </row>
    <row r="7" spans="1:12" x14ac:dyDescent="0.2">
      <c r="A7" t="s">
        <v>26</v>
      </c>
      <c r="B7">
        <v>8263188</v>
      </c>
      <c r="C7">
        <v>10090293</v>
      </c>
      <c r="D7">
        <v>6013424</v>
      </c>
      <c r="K7">
        <f>B7*55%</f>
        <v>4544753.4000000004</v>
      </c>
    </row>
    <row r="8" spans="1:12" x14ac:dyDescent="0.2">
      <c r="K8" s="3">
        <f>B7*45%</f>
        <v>3718434.6</v>
      </c>
    </row>
    <row r="9" spans="1:12" x14ac:dyDescent="0.2">
      <c r="A9" t="s">
        <v>48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</row>
    <row r="10" spans="1:12" x14ac:dyDescent="0.2">
      <c r="A10" t="s">
        <v>27</v>
      </c>
      <c r="B10">
        <v>8331196</v>
      </c>
      <c r="C10">
        <v>6658547</v>
      </c>
      <c r="D10">
        <v>7152853</v>
      </c>
      <c r="E10">
        <v>1672649</v>
      </c>
      <c r="F10">
        <v>1178343</v>
      </c>
      <c r="G10">
        <v>0.25119999999999998</v>
      </c>
      <c r="H10">
        <v>0.16470000000000001</v>
      </c>
    </row>
    <row r="11" spans="1:12" x14ac:dyDescent="0.2">
      <c r="A11" t="s">
        <v>28</v>
      </c>
      <c r="B11">
        <v>14502592</v>
      </c>
      <c r="C11">
        <v>13223864</v>
      </c>
      <c r="D11">
        <v>13465021</v>
      </c>
      <c r="E11">
        <v>1278728</v>
      </c>
      <c r="F11">
        <v>1037571</v>
      </c>
      <c r="G11">
        <v>9.6699999999999994E-2</v>
      </c>
      <c r="H11">
        <v>7.7100000000000002E-2</v>
      </c>
      <c r="K11" s="6">
        <f>K7/B3</f>
        <v>4.971077859145874E-2</v>
      </c>
    </row>
    <row r="12" spans="1:12" x14ac:dyDescent="0.2">
      <c r="A12" t="s">
        <v>29</v>
      </c>
      <c r="B12">
        <v>1998997</v>
      </c>
      <c r="C12">
        <v>2007133</v>
      </c>
      <c r="D12">
        <v>776852</v>
      </c>
      <c r="E12">
        <v>-8136</v>
      </c>
      <c r="F12">
        <v>1222145</v>
      </c>
      <c r="G12">
        <v>-4.1000000000000003E-3</v>
      </c>
      <c r="H12">
        <v>1.5731999999999999</v>
      </c>
    </row>
    <row r="13" spans="1:12" x14ac:dyDescent="0.2">
      <c r="A13" t="s">
        <v>30</v>
      </c>
      <c r="B13">
        <v>1154147</v>
      </c>
      <c r="C13">
        <v>1234873</v>
      </c>
      <c r="D13">
        <v>949161</v>
      </c>
      <c r="E13">
        <v>-80726</v>
      </c>
      <c r="F13">
        <v>204986</v>
      </c>
      <c r="G13">
        <v>-6.54E-2</v>
      </c>
      <c r="H13">
        <v>0.216</v>
      </c>
    </row>
    <row r="14" spans="1:12" x14ac:dyDescent="0.2">
      <c r="A14" t="s">
        <v>31</v>
      </c>
      <c r="B14">
        <v>4619662</v>
      </c>
      <c r="C14">
        <v>5551277</v>
      </c>
      <c r="D14">
        <v>4936217</v>
      </c>
      <c r="E14">
        <v>-931615</v>
      </c>
      <c r="F14">
        <v>-316555</v>
      </c>
      <c r="G14">
        <v>-0.1678</v>
      </c>
      <c r="H14">
        <v>-6.4100000000000004E-2</v>
      </c>
    </row>
    <row r="15" spans="1:12" x14ac:dyDescent="0.2">
      <c r="A15" t="s">
        <v>32</v>
      </c>
      <c r="B15">
        <v>5189265</v>
      </c>
      <c r="C15">
        <v>6269845</v>
      </c>
      <c r="D15">
        <v>4875301</v>
      </c>
      <c r="E15">
        <v>-1080580</v>
      </c>
      <c r="F15">
        <v>313964</v>
      </c>
      <c r="G15">
        <v>-0.17230000000000001</v>
      </c>
      <c r="H15">
        <v>6.4399999999999999E-2</v>
      </c>
    </row>
    <row r="16" spans="1:12" x14ac:dyDescent="0.2">
      <c r="A16" t="s">
        <v>33</v>
      </c>
      <c r="B16">
        <v>11929577</v>
      </c>
      <c r="C16">
        <v>13039114</v>
      </c>
      <c r="D16">
        <v>11311414</v>
      </c>
      <c r="E16">
        <v>-1109537</v>
      </c>
      <c r="F16">
        <v>618163</v>
      </c>
      <c r="G16">
        <v>-8.5099999999999995E-2</v>
      </c>
      <c r="H16">
        <v>5.4600000000000003E-2</v>
      </c>
    </row>
    <row r="17" spans="1:16" x14ac:dyDescent="0.2">
      <c r="A17" t="s">
        <v>34</v>
      </c>
      <c r="B17">
        <v>9567189</v>
      </c>
      <c r="C17">
        <v>11601799</v>
      </c>
      <c r="D17">
        <v>10617706</v>
      </c>
      <c r="E17">
        <v>-2034610</v>
      </c>
      <c r="F17">
        <v>-1050517</v>
      </c>
      <c r="G17">
        <v>-0.1754</v>
      </c>
      <c r="H17">
        <v>-9.8900000000000002E-2</v>
      </c>
    </row>
    <row r="18" spans="1:16" x14ac:dyDescent="0.2">
      <c r="A18" t="s">
        <v>35</v>
      </c>
      <c r="B18">
        <v>19302650</v>
      </c>
      <c r="C18">
        <v>21723767</v>
      </c>
      <c r="D18">
        <v>21768611</v>
      </c>
      <c r="E18">
        <v>-2421117</v>
      </c>
      <c r="F18">
        <v>-2465961</v>
      </c>
      <c r="G18">
        <v>-0.1115</v>
      </c>
      <c r="H18">
        <v>-0.1133</v>
      </c>
      <c r="K18" t="s">
        <v>51</v>
      </c>
    </row>
    <row r="19" spans="1:16" ht="19" x14ac:dyDescent="0.25">
      <c r="K19" s="2">
        <v>1890032.99</v>
      </c>
      <c r="L19" s="2">
        <v>1743987.5</v>
      </c>
      <c r="M19" s="2">
        <v>1960065.5460000001</v>
      </c>
      <c r="N19" s="2">
        <v>1951274.63</v>
      </c>
    </row>
    <row r="20" spans="1:16" x14ac:dyDescent="0.2">
      <c r="K20">
        <f>B10/K19</f>
        <v>4.4079632705247116</v>
      </c>
      <c r="L20">
        <f>'Long PL Meses'!C72/'Input Enero2025'!L19</f>
        <v>6.3683529841813664</v>
      </c>
      <c r="M20">
        <f>'Long PL Meses'!C73/'Input Enero2025'!M19</f>
        <v>4.7765137339953014</v>
      </c>
      <c r="N20">
        <f>'Long PL Meses'!C74/'Input Enero2025'!N19</f>
        <v>4.3899274188790125</v>
      </c>
      <c r="P20" s="8">
        <f>SUM(B10:B18)</f>
        <v>76595275</v>
      </c>
    </row>
    <row r="21" spans="1:16" x14ac:dyDescent="0.2">
      <c r="A21" t="s">
        <v>49</v>
      </c>
      <c r="B21" t="s">
        <v>2</v>
      </c>
      <c r="C21" t="s">
        <v>3</v>
      </c>
      <c r="D21" t="s">
        <v>4</v>
      </c>
      <c r="E21" t="s">
        <v>5</v>
      </c>
      <c r="F21" t="s">
        <v>6</v>
      </c>
      <c r="G21" t="s">
        <v>7</v>
      </c>
      <c r="H21" t="s">
        <v>8</v>
      </c>
      <c r="P21" s="8">
        <v>79435136</v>
      </c>
    </row>
    <row r="22" spans="1:16" x14ac:dyDescent="0.2">
      <c r="A22" t="s">
        <v>31</v>
      </c>
      <c r="B22">
        <v>1618393</v>
      </c>
      <c r="C22">
        <v>1103650</v>
      </c>
      <c r="D22">
        <v>1284071</v>
      </c>
      <c r="E22">
        <v>514743</v>
      </c>
      <c r="F22">
        <v>334322</v>
      </c>
      <c r="G22">
        <v>0.46639999999999998</v>
      </c>
      <c r="H22">
        <v>0.26040000000000002</v>
      </c>
      <c r="J22" t="s">
        <v>54</v>
      </c>
      <c r="K22" s="4">
        <f>$P$20/K19</f>
        <v>40.525893148563505</v>
      </c>
      <c r="L22" s="4">
        <f>$P$21/L19</f>
        <v>45.547996186899276</v>
      </c>
      <c r="M22" s="4">
        <f>$P$22/M19</f>
        <v>47.202403607782202</v>
      </c>
      <c r="N22" s="4">
        <f>$P$23/N19</f>
        <v>37.484290973434121</v>
      </c>
      <c r="P22" s="8">
        <v>92519805</v>
      </c>
    </row>
    <row r="23" spans="1:16" x14ac:dyDescent="0.2">
      <c r="A23" t="s">
        <v>36</v>
      </c>
      <c r="B23">
        <v>575332</v>
      </c>
      <c r="C23">
        <v>575334</v>
      </c>
      <c r="D23">
        <v>445531</v>
      </c>
      <c r="E23">
        <v>-2</v>
      </c>
      <c r="F23">
        <v>129801</v>
      </c>
      <c r="G23">
        <v>0</v>
      </c>
      <c r="H23">
        <v>0.2913</v>
      </c>
      <c r="P23" s="8">
        <v>73142146</v>
      </c>
    </row>
    <row r="24" spans="1:16" x14ac:dyDescent="0.2">
      <c r="A24" t="s">
        <v>32</v>
      </c>
      <c r="B24">
        <v>343585</v>
      </c>
      <c r="C24">
        <v>753794</v>
      </c>
      <c r="D24">
        <v>275670</v>
      </c>
      <c r="E24">
        <v>-410209</v>
      </c>
      <c r="F24">
        <v>67915</v>
      </c>
      <c r="G24">
        <v>-0.54420000000000002</v>
      </c>
      <c r="H24">
        <v>0.24640000000000001</v>
      </c>
    </row>
    <row r="25" spans="1:16" x14ac:dyDescent="0.2">
      <c r="A25" t="s">
        <v>37</v>
      </c>
      <c r="B25">
        <v>143432</v>
      </c>
      <c r="C25">
        <v>246775</v>
      </c>
      <c r="D25">
        <v>112904</v>
      </c>
      <c r="E25">
        <v>-103343</v>
      </c>
      <c r="F25">
        <v>30528</v>
      </c>
      <c r="G25">
        <v>-0.41880000000000001</v>
      </c>
      <c r="H25">
        <v>0.27039999999999997</v>
      </c>
    </row>
    <row r="26" spans="1:16" x14ac:dyDescent="0.2">
      <c r="A26" t="s">
        <v>38</v>
      </c>
      <c r="B26">
        <v>18387</v>
      </c>
      <c r="C26">
        <v>37635</v>
      </c>
      <c r="E26">
        <v>-19248</v>
      </c>
      <c r="F26">
        <v>18387</v>
      </c>
      <c r="G26">
        <v>-0.51139999999999997</v>
      </c>
      <c r="H26" t="s">
        <v>50</v>
      </c>
    </row>
    <row r="27" spans="1:16" x14ac:dyDescent="0.2">
      <c r="A27" t="s">
        <v>30</v>
      </c>
      <c r="B27">
        <v>116261</v>
      </c>
      <c r="C27">
        <v>234280</v>
      </c>
      <c r="D27">
        <v>157360</v>
      </c>
      <c r="E27">
        <v>-118019</v>
      </c>
      <c r="F27">
        <v>-41099</v>
      </c>
      <c r="G27">
        <v>-0.50380000000000003</v>
      </c>
      <c r="H27">
        <v>-0.26119999999999999</v>
      </c>
    </row>
    <row r="28" spans="1:16" x14ac:dyDescent="0.2">
      <c r="A28" t="s">
        <v>28</v>
      </c>
      <c r="B28">
        <v>2890930</v>
      </c>
      <c r="C28">
        <v>3868042</v>
      </c>
      <c r="D28">
        <v>3056277</v>
      </c>
      <c r="E28">
        <v>-977112</v>
      </c>
      <c r="F28">
        <v>-165347</v>
      </c>
      <c r="G28">
        <v>-0.25259999999999999</v>
      </c>
      <c r="H28">
        <v>-5.4100000000000002E-2</v>
      </c>
    </row>
    <row r="29" spans="1:16" x14ac:dyDescent="0.2">
      <c r="A29" t="s">
        <v>39</v>
      </c>
      <c r="B29">
        <v>859120</v>
      </c>
      <c r="C29">
        <v>779299</v>
      </c>
      <c r="D29">
        <v>1194868</v>
      </c>
      <c r="E29">
        <v>79821</v>
      </c>
      <c r="F29">
        <v>-335748</v>
      </c>
      <c r="G29">
        <v>0.1024</v>
      </c>
      <c r="H29">
        <v>-0.28100000000000003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 PL Meses</vt:lpstr>
      <vt:lpstr>Input Enero2025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Santana</dc:creator>
  <cp:lastModifiedBy>Ana Isabel García Mojica</cp:lastModifiedBy>
  <dcterms:created xsi:type="dcterms:W3CDTF">2025-10-20T16:52:24Z</dcterms:created>
  <dcterms:modified xsi:type="dcterms:W3CDTF">2025-12-05T08:20:36Z</dcterms:modified>
</cp:coreProperties>
</file>